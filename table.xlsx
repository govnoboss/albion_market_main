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Лист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Inter"/>
      <color rgb="FF808080"/>
      <sz val="10"/>
    </font>
    <font>
      <name val="Arial"/>
      <color rgb="FFD9D9D9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scheme val="minor"/>
    </font>
    <font>
      <name val="Arial"/>
      <color rgb="FF000000"/>
      <scheme val="minor"/>
    </font>
    <font>
      <name val="Inter"/>
      <color theme="1"/>
      <sz val="10"/>
    </font>
    <font>
      <name val="Arial"/>
      <color theme="1"/>
    </font>
    <font>
      <name val="Arial"/>
      <color rgb="FFFF0000"/>
      <scheme val="minor"/>
    </font>
    <font>
      <name val="Arial"/>
      <color rgb="FF000000"/>
    </font>
    <font>
      <color rgb="00000000"/>
    </font>
    <font>
      <color rgb="00FF0000"/>
    </font>
  </fonts>
  <fills count="20">
    <fill>
      <patternFill/>
    </fill>
    <fill>
      <patternFill patternType="lightGray"/>
    </fill>
    <fill>
      <patternFill patternType="solid">
        <fgColor rgb="FF1A1A1A"/>
        <bgColor rgb="FF1A1A1A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A2C4C9"/>
        <bgColor rgb="FFA2C4C9"/>
      </patternFill>
    </fill>
    <fill>
      <patternFill patternType="solid">
        <fgColor rgb="FFFFF2CC"/>
        <bgColor rgb="FFFFF2CC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00B0F0"/>
        <bgColor rgb="FF00B0F0"/>
      </patternFill>
    </fill>
    <fill>
      <patternFill patternType="solid">
        <fgColor rgb="FFFFA500"/>
        <bgColor rgb="FFFFA500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</fills>
  <borders count="3">
    <border/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numFmtId="0" fontId="0" fillId="0" borderId="0"/>
  </cellStyleXfs>
  <cellXfs count="64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4" borderId="1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5" borderId="1" pivotButton="0" quotePrefix="0" xfId="0"/>
    <xf numFmtId="0" fontId="6" fillId="6" borderId="2" applyAlignment="1" pivotButton="0" quotePrefix="0" xfId="0">
      <alignment horizontal="right" wrapText="1"/>
    </xf>
    <xf numFmtId="0" fontId="7" fillId="4" borderId="1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0" fontId="5" fillId="0" borderId="0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0" borderId="0" applyAlignment="1" pivotButton="0" quotePrefix="0" xfId="0">
      <alignment horizontal="right"/>
    </xf>
    <xf numFmtId="0" fontId="4" fillId="10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11" borderId="2" applyAlignment="1" pivotButton="0" quotePrefix="0" xfId="0">
      <alignment horizontal="right" wrapText="1"/>
    </xf>
    <xf numFmtId="0" fontId="6" fillId="12" borderId="2" applyAlignment="1" pivotButton="0" quotePrefix="0" xfId="0">
      <alignment horizontal="right" wrapText="1"/>
    </xf>
    <xf numFmtId="0" fontId="6" fillId="13" borderId="2" applyAlignment="1" pivotButton="0" quotePrefix="0" xfId="0">
      <alignment horizontal="right" wrapText="1"/>
    </xf>
    <xf numFmtId="0" fontId="6" fillId="14" borderId="2" applyAlignment="1" pivotButton="0" quotePrefix="0" xfId="0">
      <alignment horizontal="right" wrapText="1"/>
    </xf>
    <xf numFmtId="0" fontId="6" fillId="15" borderId="2" applyAlignment="1" pivotButton="0" quotePrefix="0" xfId="0">
      <alignment horizontal="right" wrapText="1"/>
    </xf>
    <xf numFmtId="0" fontId="9" fillId="6" borderId="2" applyAlignment="1" pivotButton="0" quotePrefix="0" xfId="0">
      <alignment horizontal="right" wrapText="1"/>
    </xf>
    <xf numFmtId="0" fontId="6" fillId="6" borderId="1" applyAlignment="1" pivotButton="0" quotePrefix="0" xfId="0">
      <alignment horizontal="right"/>
    </xf>
    <xf numFmtId="0" fontId="6" fillId="13" borderId="1" applyAlignment="1" pivotButton="0" quotePrefix="0" xfId="0">
      <alignment horizontal="right"/>
    </xf>
    <xf numFmtId="0" fontId="6" fillId="14" borderId="1" applyAlignment="1" pivotButton="0" quotePrefix="0" xfId="0">
      <alignment horizontal="right"/>
    </xf>
    <xf numFmtId="0" fontId="6" fillId="9" borderId="1" applyAlignment="1" pivotButton="0" quotePrefix="0" xfId="0">
      <alignment horizontal="right"/>
    </xf>
    <xf numFmtId="0" fontId="4" fillId="4" borderId="1" applyAlignment="1" pivotButton="0" quotePrefix="0" xfId="0">
      <alignment horizontal="right"/>
    </xf>
    <xf numFmtId="0" fontId="9" fillId="11" borderId="1" applyAlignment="1" pivotButton="0" quotePrefix="0" xfId="0">
      <alignment horizontal="right"/>
    </xf>
    <xf numFmtId="0" fontId="6" fillId="15" borderId="1" applyAlignment="1" pivotButton="0" quotePrefix="0" xfId="0">
      <alignment horizontal="right"/>
    </xf>
    <xf numFmtId="0" fontId="6" fillId="11" borderId="1" applyAlignment="1" pivotButton="0" quotePrefix="0" xfId="0">
      <alignment horizontal="right"/>
    </xf>
    <xf numFmtId="0" fontId="8" fillId="0" borderId="0" applyAlignment="1" pivotButton="0" quotePrefix="0" xfId="0">
      <alignment horizontal="right" vertical="bottom"/>
    </xf>
    <xf numFmtId="0" fontId="4" fillId="16" borderId="1" pivotButton="0" quotePrefix="0" xfId="0"/>
    <xf numFmtId="0" fontId="3" fillId="16" borderId="1" pivotButton="0" quotePrefix="0" xfId="0"/>
    <xf numFmtId="0" fontId="3" fillId="0" borderId="2" applyAlignment="1" pivotButton="0" quotePrefix="0" xfId="0">
      <alignment wrapText="1"/>
    </xf>
    <xf numFmtId="0" fontId="3" fillId="7" borderId="1" pivotButton="0" quotePrefix="0" xfId="0"/>
    <xf numFmtId="0" fontId="3" fillId="17" borderId="1" pivotButton="0" quotePrefix="0" xfId="0"/>
    <xf numFmtId="0" fontId="3" fillId="9" borderId="1" pivotButton="0" quotePrefix="0" xfId="0"/>
    <xf numFmtId="0" fontId="3" fillId="18" borderId="1" pivotButton="0" quotePrefix="0" xfId="0"/>
    <xf numFmtId="0" fontId="4" fillId="19" borderId="1" applyAlignment="1" pivotButton="0" quotePrefix="0" xfId="0">
      <alignment horizontal="right"/>
    </xf>
    <xf numFmtId="0" fontId="9" fillId="13" borderId="1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0" fillId="0" borderId="0" pivotButton="0" quotePrefix="0" xfId="0"/>
    <xf numFmtId="0" fontId="11" fillId="6" borderId="2" applyAlignment="1" pivotButton="0" quotePrefix="0" xfId="0">
      <alignment horizontal="right" wrapText="1"/>
    </xf>
    <xf numFmtId="0" fontId="11" fillId="0" borderId="0" pivotButton="0" quotePrefix="0" xfId="0"/>
    <xf numFmtId="0" fontId="11" fillId="11" borderId="2" applyAlignment="1" pivotButton="0" quotePrefix="0" xfId="0">
      <alignment horizontal="right" wrapText="1"/>
    </xf>
    <xf numFmtId="0" fontId="11" fillId="12" borderId="2" applyAlignment="1" pivotButton="0" quotePrefix="0" xfId="0">
      <alignment horizontal="right" wrapText="1"/>
    </xf>
    <xf numFmtId="0" fontId="11" fillId="13" borderId="2" applyAlignment="1" pivotButton="0" quotePrefix="0" xfId="0">
      <alignment horizontal="right" wrapText="1"/>
    </xf>
    <xf numFmtId="0" fontId="11" fillId="14" borderId="2" applyAlignment="1" pivotButton="0" quotePrefix="0" xfId="0">
      <alignment horizontal="right" wrapText="1"/>
    </xf>
    <xf numFmtId="0" fontId="11" fillId="15" borderId="2" applyAlignment="1" pivotButton="0" quotePrefix="0" xfId="0">
      <alignment horizontal="right" wrapText="1"/>
    </xf>
    <xf numFmtId="0" fontId="12" fillId="6" borderId="2" applyAlignment="1" pivotButton="0" quotePrefix="0" xfId="0">
      <alignment horizontal="right" wrapText="1"/>
    </xf>
    <xf numFmtId="0" fontId="11" fillId="6" borderId="1" applyAlignment="1" pivotButton="0" quotePrefix="0" xfId="0">
      <alignment horizontal="right"/>
    </xf>
    <xf numFmtId="0" fontId="11" fillId="13" borderId="1" applyAlignment="1" pivotButton="0" quotePrefix="0" xfId="0">
      <alignment horizontal="right"/>
    </xf>
    <xf numFmtId="0" fontId="11" fillId="14" borderId="1" applyAlignment="1" pivotButton="0" quotePrefix="0" xfId="0">
      <alignment horizontal="right"/>
    </xf>
    <xf numFmtId="0" fontId="11" fillId="9" borderId="1" applyAlignment="1" pivotButton="0" quotePrefix="0" xfId="0">
      <alignment horizontal="right"/>
    </xf>
    <xf numFmtId="0" fontId="12" fillId="11" borderId="1" applyAlignment="1" pivotButton="0" quotePrefix="0" xfId="0">
      <alignment horizontal="right"/>
    </xf>
    <xf numFmtId="0" fontId="11" fillId="15" borderId="1" applyAlignment="1" pivotButton="0" quotePrefix="0" xfId="0">
      <alignment horizontal="right"/>
    </xf>
    <xf numFmtId="0" fontId="11" fillId="11" borderId="1" applyAlignment="1" pivotButton="0" quotePrefix="0" xfId="0">
      <alignment horizontal="right"/>
    </xf>
    <xf numFmtId="0" fontId="12" fillId="13" borderId="1" applyAlignment="1" pivotButton="0" quotePrefix="0" xfId="0">
      <alignment horizontal="right"/>
    </xf>
    <xf numFmtId="0" fontId="12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selection activeCell="A1" sqref="A1"/>
    </sheetView>
  </sheetViews>
  <sheetFormatPr baseColWidth="8" defaultColWidth="12.63" defaultRowHeight="15" customHeight="1"/>
  <cols>
    <col width="60.38" customWidth="1" style="46" min="1" max="1"/>
    <col width="11.13" customWidth="1" style="46" min="2" max="5"/>
    <col width="10.88" customWidth="1" style="46" min="6" max="7"/>
    <col width="12.13" customWidth="1" style="46" min="8" max="8"/>
    <col width="11.13" customWidth="1" style="46" min="9" max="9"/>
    <col width="11.25" customWidth="1" style="46" min="10" max="10"/>
    <col width="21" customWidth="1" style="46" min="16" max="16"/>
  </cols>
  <sheetData>
    <row r="1" ht="13.5" customHeight="1" s="46">
      <c r="A1" s="1" t="inlineStr">
        <is>
          <t>name</t>
        </is>
      </c>
      <c r="B1" s="1" t="inlineStr">
        <is>
          <t>value</t>
        </is>
      </c>
      <c r="C1" s="1" t="inlineStr">
        <is>
          <t>tir</t>
        </is>
      </c>
      <c r="D1" s="1" t="inlineStr">
        <is>
          <t>store</t>
        </is>
      </c>
      <c r="E1" s="2" t="inlineStr">
        <is>
          <t>present</t>
        </is>
      </c>
      <c r="F1" s="6" t="inlineStr">
        <is>
          <t>weightforitem</t>
        </is>
      </c>
      <c r="G1" s="4" t="inlineStr">
        <is>
          <t>valuefromcity</t>
        </is>
      </c>
      <c r="H1" s="12" t="inlineStr">
        <is>
          <t>maxvalueindex</t>
        </is>
      </c>
      <c r="I1" s="4" t="n"/>
      <c r="J1" s="6" t="inlineStr">
        <is>
          <t>Цена закупки</t>
        </is>
      </c>
      <c r="K1" s="6" t="n"/>
      <c r="M1" s="6" t="n"/>
      <c r="N1" s="6" t="n"/>
      <c r="O1" s="6" t="n"/>
      <c r="P1" s="6" t="inlineStr">
        <is>
          <t xml:space="preserve">Процент чистого профита </t>
        </is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3.5" customHeight="1" s="46">
      <c r="A2" s="7" t="inlineStr">
        <is>
          <t>шлем солдата (знаток)</t>
        </is>
      </c>
      <c r="B2" s="47" t="n">
        <v>2166</v>
      </c>
      <c r="C2" s="9" t="n">
        <v>0</v>
      </c>
      <c r="D2" s="9" t="n">
        <v>100</v>
      </c>
      <c r="E2" s="10" t="inlineStr">
        <is>
          <t>0.55</t>
        </is>
      </c>
      <c r="F2" s="12" t="n">
        <v>1.7</v>
      </c>
      <c r="G2" s="4" t="n">
        <v>1000</v>
      </c>
      <c r="H2" s="12" t="n">
        <v>1166</v>
      </c>
      <c r="I2" s="4" t="n"/>
      <c r="J2" s="6">
        <f>IF((B2*0.935 - F2*500) / (1.025*(1+$P$2/100)) &lt;= F2*500/0.15,ROUND(MAX(0, (B2*0.935 - F2*500) / (1.025*(1+$P$2/100))),0),ROUND(MAX(0, B2*0.935 / (1.175*(1+$P$2/100))),0))</f>
        <v/>
      </c>
      <c r="K2" s="6" t="n"/>
      <c r="L2" s="6" t="n"/>
      <c r="M2" s="6" t="n"/>
      <c r="N2" s="6" t="n"/>
      <c r="O2" s="6" t="n"/>
      <c r="P2" s="6" t="n">
        <v>10</v>
      </c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13.5" customHeight="1" s="46">
      <c r="A3" s="13" t="inlineStr">
        <is>
          <t>шлем солдата (эксперт)</t>
        </is>
      </c>
      <c r="B3" s="47" t="n">
        <v>6272</v>
      </c>
      <c r="C3" s="9" t="n">
        <v>0</v>
      </c>
      <c r="D3" s="9" t="n">
        <v>100</v>
      </c>
      <c r="E3" s="10" t="inlineStr">
        <is>
          <t>0.70</t>
        </is>
      </c>
      <c r="F3" s="12" t="n">
        <v>2.5</v>
      </c>
      <c r="G3" s="4" t="n">
        <v>3075</v>
      </c>
      <c r="H3" s="12" t="n">
        <v>3197</v>
      </c>
      <c r="I3" s="4" t="n"/>
      <c r="J3" s="6">
        <f>IF((B3*0.935 - F3*500) / (1.025*(1+$P$2/100)) &lt;= F3*500/0.15,ROUND(MAX(0, (B3*0.935 - F3*500) / (1.025*(1+$P$2/100))),0),ROUND(MAX(0, B3*0.935 / (1.175*(1+$P$2/100))),0))</f>
        <v/>
      </c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3.5" customHeight="1" s="46">
      <c r="A4" s="14" t="inlineStr">
        <is>
          <t>шлем солдата (мастер)</t>
        </is>
      </c>
      <c r="B4" s="47" t="n">
        <v>18607</v>
      </c>
      <c r="C4" s="9" t="n">
        <v>0</v>
      </c>
      <c r="D4" s="9" t="n">
        <v>70</v>
      </c>
      <c r="E4" s="10" t="inlineStr">
        <is>
          <t>0.80</t>
        </is>
      </c>
      <c r="F4" s="12" t="n">
        <v>3.8</v>
      </c>
      <c r="G4" s="4" t="n">
        <v>11895</v>
      </c>
      <c r="H4" s="12" t="n">
        <v>6712</v>
      </c>
      <c r="I4" s="4" t="n"/>
      <c r="J4" s="6">
        <f>IF((B4*0.935 - F4*500) / (1.025*(1+$P$2/100)) &lt;= F4*500/0.15,ROUND(MAX(0, (B4*0.935 - F4*500) / (1.025*(1+$P$2/100))),0),ROUND(MAX(0, B4*0.935 / (1.175*(1+$P$2/100))),0))</f>
        <v/>
      </c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3.5" customHeight="1" s="46">
      <c r="A5" s="15" t="inlineStr">
        <is>
          <t>шлем солдата (магистр)</t>
        </is>
      </c>
      <c r="B5" s="47" t="n">
        <v>45631</v>
      </c>
      <c r="C5" s="16" t="n">
        <v>0</v>
      </c>
      <c r="D5" s="16" t="n">
        <v>10</v>
      </c>
      <c r="E5" s="10" t="inlineStr">
        <is>
          <t>0.75</t>
        </is>
      </c>
      <c r="F5" s="12" t="n">
        <v>5.7</v>
      </c>
      <c r="G5" s="4" t="n">
        <v>35200</v>
      </c>
      <c r="H5" s="12" t="n">
        <v>10431</v>
      </c>
      <c r="I5" s="4" t="n"/>
      <c r="J5" s="6">
        <f>IF((B5*0.935 - F5*500) / (1.025*(1+$P$2/100)) &lt;= F5*500/0.15,ROUND(MAX(0, (B5*0.935 - F5*500) / (1.025*(1+$P$2/100))),0),ROUND(MAX(0, B5*0.935 / (1.175*(1+$P$2/100))),0))</f>
        <v/>
      </c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46">
      <c r="A6" s="17" t="inlineStr">
        <is>
          <t>шлем солдата (старейшина)</t>
        </is>
      </c>
      <c r="B6" s="47" t="n">
        <v>134187</v>
      </c>
      <c r="C6" s="16" t="n">
        <v>0</v>
      </c>
      <c r="D6" s="16" t="n">
        <v>5</v>
      </c>
      <c r="E6" s="10" t="inlineStr">
        <is>
          <t>0.75</t>
        </is>
      </c>
      <c r="F6" s="12" t="n">
        <v>8.5</v>
      </c>
      <c r="G6" s="4" t="n">
        <v>219987</v>
      </c>
      <c r="H6" s="12" t="n">
        <v>-85800</v>
      </c>
      <c r="I6" s="4" t="n"/>
      <c r="J6" s="6">
        <f>IF((B6*0.935 - F6*500) / (1.025*(1+$P$2/100)) &lt;= F6*500/0.15,ROUND(MAX(0, (B6*0.935 - F6*500) / (1.025*(1+$P$2/100))),0),ROUND(MAX(0, B6*0.935 / (1.175*(1+$P$2/100))),0))</f>
        <v/>
      </c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13.5" customHeight="1" s="46">
      <c r="A7" s="18" t="inlineStr">
        <is>
          <t>шлем хранителя (знаток)</t>
        </is>
      </c>
      <c r="B7" s="48" t="n">
        <v>2090</v>
      </c>
      <c r="C7" s="6" t="n"/>
      <c r="D7" s="9" t="n">
        <v>100</v>
      </c>
      <c r="E7" s="10" t="inlineStr">
        <is>
          <t>0.55</t>
        </is>
      </c>
      <c r="F7" s="12" t="n">
        <v>1.7</v>
      </c>
      <c r="G7" s="18" t="n">
        <v>1089</v>
      </c>
      <c r="H7" s="12" t="n">
        <v>1001</v>
      </c>
      <c r="I7" s="4" t="n"/>
      <c r="J7" s="6">
        <f>IF((B7*0.935 - F7*500) / (1.025*(1+$P$2/100)) &lt;= F7*500/0.15,ROUND(MAX(0, (B7*0.935 - F7*500) / (1.025*(1+$P$2/100))),0),ROUND(MAX(0, B7*0.935 / (1.175*(1+$P$2/100))),0))</f>
        <v/>
      </c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13.5" customHeight="1" s="46">
      <c r="A8" s="18" t="inlineStr">
        <is>
          <t>шлем хранителя (эксперт)</t>
        </is>
      </c>
      <c r="B8" s="48" t="n">
        <v>6160</v>
      </c>
      <c r="C8" s="6" t="n"/>
      <c r="D8" s="9" t="n">
        <v>100</v>
      </c>
      <c r="E8" s="10" t="inlineStr">
        <is>
          <t>0.70</t>
        </is>
      </c>
      <c r="F8" s="12" t="n">
        <v>2.5</v>
      </c>
      <c r="G8" s="18" t="n">
        <v>3390</v>
      </c>
      <c r="H8" s="12" t="n">
        <v>2770</v>
      </c>
      <c r="I8" s="4" t="n"/>
      <c r="J8" s="6">
        <f>IF((B8*0.935 - F8*500) / (1.025*(1+$P$2/100)) &lt;= F8*500/0.15,ROUND(MAX(0, (B8*0.935 - F8*500) / (1.025*(1+$P$2/100))),0),ROUND(MAX(0, B8*0.935 / (1.175*(1+$P$2/100))),0))</f>
        <v/>
      </c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3.5" customHeight="1" s="46">
      <c r="A9" s="18" t="inlineStr">
        <is>
          <t>шлем хранителя (мастер)</t>
        </is>
      </c>
      <c r="B9" s="48" t="n">
        <v>19445</v>
      </c>
      <c r="C9" s="6" t="n"/>
      <c r="D9" s="9" t="n">
        <v>70</v>
      </c>
      <c r="E9" s="10" t="inlineStr">
        <is>
          <t>0.80</t>
        </is>
      </c>
      <c r="F9" s="12" t="n">
        <v>3.8</v>
      </c>
      <c r="G9" s="18" t="n">
        <v>13377</v>
      </c>
      <c r="H9" s="12" t="n">
        <v>6068</v>
      </c>
      <c r="I9" s="4" t="n"/>
      <c r="J9" s="6">
        <f>IF((B9*0.935 - F9*500) / (1.025*(1+$P$2/100)) &lt;= F9*500/0.15,ROUND(MAX(0, (B9*0.935 - F9*500) / (1.025*(1+$P$2/100))),0),ROUND(MAX(0, B9*0.935 / (1.175*(1+$P$2/100))),0))</f>
        <v/>
      </c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13.5" customHeight="1" s="46">
      <c r="A10" s="18" t="inlineStr">
        <is>
          <t>шлем хранителя (магистр)</t>
        </is>
      </c>
      <c r="B10" s="48" t="n">
        <v>46656</v>
      </c>
      <c r="C10" s="6" t="n"/>
      <c r="D10" s="16" t="n">
        <v>10</v>
      </c>
      <c r="E10" s="10" t="inlineStr">
        <is>
          <t>0.75</t>
        </is>
      </c>
      <c r="F10" s="12" t="n">
        <v>5.7</v>
      </c>
      <c r="G10" s="18" t="n">
        <v>42490</v>
      </c>
      <c r="H10" s="12" t="n">
        <v>4166</v>
      </c>
      <c r="I10" s="4" t="n"/>
      <c r="J10" s="6">
        <f>IF((B10*0.935 - F10*500) / (1.025*(1+$P$2/100)) &lt;= F10*500/0.15,ROUND(MAX(0, (B10*0.935 - F10*500) / (1.025*(1+$P$2/100))),0),ROUND(MAX(0, B10*0.935 / (1.175*(1+$P$2/100))),0))</f>
        <v/>
      </c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3.5" customHeight="1" s="46">
      <c r="A11" s="18" t="inlineStr">
        <is>
          <t>шлем хранителя (старейшина)</t>
        </is>
      </c>
      <c r="B11" s="48" t="n">
        <v>121762</v>
      </c>
      <c r="C11" s="6" t="n"/>
      <c r="D11" s="16" t="n">
        <v>5</v>
      </c>
      <c r="E11" s="10" t="inlineStr">
        <is>
          <t>0.75</t>
        </is>
      </c>
      <c r="F11" s="12" t="n">
        <v>8.5</v>
      </c>
      <c r="G11" s="18" t="n">
        <v>79999</v>
      </c>
      <c r="H11" s="12" t="n">
        <v>41763</v>
      </c>
      <c r="I11" s="4" t="n"/>
      <c r="J11" s="6">
        <f>IF((B11*0.935 - F11*500) / (1.025*(1+$P$2/100)) &lt;= F11*500/0.15,ROUND(MAX(0, (B11*0.935 - F11*500) / (1.025*(1+$P$2/100))),0),ROUND(MAX(0, B11*0.935 / (1.175*(1+$P$2/100))),0))</f>
        <v/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13.5" customHeight="1" s="46">
      <c r="A12" s="7" t="inlineStr">
        <is>
          <t>шлем рыцаря (знаток)</t>
        </is>
      </c>
      <c r="B12" s="49" t="n">
        <v>2214</v>
      </c>
      <c r="C12" s="9" t="n">
        <v>0</v>
      </c>
      <c r="D12" s="9" t="n">
        <v>100</v>
      </c>
      <c r="E12" s="10" t="inlineStr">
        <is>
          <t>0.55</t>
        </is>
      </c>
      <c r="F12" s="12" t="n">
        <v>1.7</v>
      </c>
      <c r="G12" s="4" t="n">
        <v>1069</v>
      </c>
      <c r="H12" s="12" t="n">
        <v>1145</v>
      </c>
      <c r="I12" s="4" t="n"/>
      <c r="J12" s="6">
        <f>IF((B12*0.935 - F12*500) / (1.025*(1+$P$2/100)) &lt;= F12*500/0.15,ROUND(MAX(0, (B12*0.935 - F12*500) / (1.025*(1+$P$2/100))),0),ROUND(MAX(0, B12*0.935 / (1.175*(1+$P$2/100))),0))</f>
        <v/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13.5" customHeight="1" s="46">
      <c r="A13" s="13" t="inlineStr">
        <is>
          <t>шлем рыцаря (эксперт)</t>
        </is>
      </c>
      <c r="B13" s="49" t="n">
        <v>5825</v>
      </c>
      <c r="C13" s="9" t="n">
        <v>0</v>
      </c>
      <c r="D13" s="9" t="n">
        <v>100</v>
      </c>
      <c r="E13" s="10" t="inlineStr">
        <is>
          <t>0.70</t>
        </is>
      </c>
      <c r="F13" s="12" t="n">
        <v>2.5</v>
      </c>
      <c r="G13" s="4" t="n">
        <v>2299</v>
      </c>
      <c r="H13" s="12" t="n">
        <v>3526</v>
      </c>
      <c r="I13" s="4" t="n"/>
      <c r="J13" s="6">
        <f>IF((B13*0.935 - F13*500) / (1.025*(1+$P$2/100)) &lt;= F13*500/0.15,ROUND(MAX(0, (B13*0.935 - F13*500) / (1.025*(1+$P$2/100))),0),ROUND(MAX(0, B13*0.935 / (1.175*(1+$P$2/100))),0))</f>
        <v/>
      </c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3.5" customHeight="1" s="46">
      <c r="A14" s="14" t="inlineStr">
        <is>
          <t>шлем рыцаря (мастер)</t>
        </is>
      </c>
      <c r="B14" s="49" t="n">
        <v>18976</v>
      </c>
      <c r="C14" s="9" t="n">
        <v>0</v>
      </c>
      <c r="D14" s="9" t="n">
        <v>70</v>
      </c>
      <c r="E14" s="10" t="inlineStr">
        <is>
          <t>0.80</t>
        </is>
      </c>
      <c r="F14" s="12" t="n">
        <v>3.8</v>
      </c>
      <c r="G14" s="4" t="n">
        <v>12464</v>
      </c>
      <c r="H14" s="12" t="n">
        <v>6512</v>
      </c>
      <c r="I14" s="4" t="n"/>
      <c r="J14" s="6">
        <f>IF((B14*0.935 - F14*500) / (1.025*(1+$P$2/100)) &lt;= F14*500/0.15,ROUND(MAX(0, (B14*0.935 - F14*500) / (1.025*(1+$P$2/100))),0),ROUND(MAX(0, B14*0.935 / (1.175*(1+$P$2/100))),0))</f>
        <v/>
      </c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3.5" customHeight="1" s="46">
      <c r="A15" s="15" t="inlineStr">
        <is>
          <t>шлем рыцаря (магистр)</t>
        </is>
      </c>
      <c r="B15" s="49" t="n">
        <v>43941</v>
      </c>
      <c r="C15" s="16" t="n">
        <v>0</v>
      </c>
      <c r="D15" s="16" t="n">
        <v>10</v>
      </c>
      <c r="E15" s="10" t="inlineStr">
        <is>
          <t>0.75</t>
        </is>
      </c>
      <c r="F15" s="12" t="n">
        <v>5.7</v>
      </c>
      <c r="G15" s="4" t="n">
        <v>35948</v>
      </c>
      <c r="H15" s="12" t="n">
        <v>7993</v>
      </c>
      <c r="I15" s="4" t="n"/>
      <c r="J15" s="6">
        <f>IF((B15*0.935 - F15*500) / (1.025*(1+$P$2/100)) &lt;= F15*500/0.15,ROUND(MAX(0, (B15*0.935 - F15*500) / (1.025*(1+$P$2/100))),0),ROUND(MAX(0, B15*0.935 / (1.175*(1+$P$2/100))),0))</f>
        <v/>
      </c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3.5" customHeight="1" s="46">
      <c r="A16" s="17" t="inlineStr">
        <is>
          <t>шлем рыцаря (старейшина)</t>
        </is>
      </c>
      <c r="B16" s="49" t="n">
        <v>126911</v>
      </c>
      <c r="C16" s="16" t="n">
        <v>0</v>
      </c>
      <c r="D16" s="16" t="n">
        <v>5</v>
      </c>
      <c r="E16" s="10" t="inlineStr">
        <is>
          <t>0.75</t>
        </is>
      </c>
      <c r="F16" s="12" t="n">
        <v>8.5</v>
      </c>
      <c r="G16" s="4" t="n">
        <v>104932</v>
      </c>
      <c r="H16" s="12" t="n">
        <v>21979</v>
      </c>
      <c r="I16" s="4" t="n"/>
      <c r="J16" s="6">
        <f>IF((B16*0.935 - F16*500) / (1.025*(1+$P$2/100)) &lt;= F16*500/0.15,ROUND(MAX(0, (B16*0.935 - F16*500) / (1.025*(1+$P$2/100))),0),ROUND(MAX(0, B16*0.935 / (1.175*(1+$P$2/100))),0))</f>
        <v/>
      </c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3.5" customHeight="1" s="46">
      <c r="A17" s="7" t="inlineStr">
        <is>
          <t>капюшон охотника (знаток)</t>
        </is>
      </c>
      <c r="B17" s="50" t="n">
        <v>3315</v>
      </c>
      <c r="C17" s="9" t="n">
        <v>0</v>
      </c>
      <c r="D17" s="9" t="n">
        <v>100</v>
      </c>
      <c r="E17" s="10" t="inlineStr">
        <is>
          <t>0.55</t>
        </is>
      </c>
      <c r="F17" s="12" t="n">
        <v>1.7</v>
      </c>
      <c r="G17" s="4" t="n">
        <v>1975</v>
      </c>
      <c r="H17" s="12" t="n">
        <v>1340</v>
      </c>
      <c r="I17" s="4" t="n"/>
      <c r="J17" s="6">
        <f>IF((B17*0.935 - F17*500) / (1.025*(1+$P$2/100)) &lt;= F17*500/0.15,ROUND(MAX(0, (B17*0.935 - F17*500) / (1.025*(1+$P$2/100))),0),ROUND(MAX(0, B17*0.935 / (1.175*(1+$P$2/100))),0))</f>
        <v/>
      </c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3.5" customHeight="1" s="46">
      <c r="A18" s="13" t="inlineStr">
        <is>
          <t>капюшон охотника (эксперт)</t>
        </is>
      </c>
      <c r="B18" s="50" t="n">
        <v>9124</v>
      </c>
      <c r="C18" s="9" t="n">
        <v>0</v>
      </c>
      <c r="D18" s="9" t="n">
        <v>100</v>
      </c>
      <c r="E18" s="10" t="inlineStr">
        <is>
          <t>0.70</t>
        </is>
      </c>
      <c r="F18" s="12" t="n">
        <v>2.5</v>
      </c>
      <c r="G18" s="4" t="n">
        <v>6300</v>
      </c>
      <c r="H18" s="12" t="n">
        <v>2824</v>
      </c>
      <c r="I18" s="4" t="n"/>
      <c r="J18" s="6">
        <f>IF((B18*0.935 - F18*500) / (1.025*(1+$P$2/100)) &lt;= F18*500/0.15,ROUND(MAX(0, (B18*0.935 - F18*500) / (1.025*(1+$P$2/100))),0),ROUND(MAX(0, B18*0.935 / (1.175*(1+$P$2/100))),0))</f>
        <v/>
      </c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3.5" customHeight="1" s="46">
      <c r="A19" s="14" t="inlineStr">
        <is>
          <t>капюшон охотника (мастер)</t>
        </is>
      </c>
      <c r="B19" s="50" t="n">
        <v>30947</v>
      </c>
      <c r="C19" s="9" t="n">
        <v>0</v>
      </c>
      <c r="D19" s="9" t="n">
        <v>70</v>
      </c>
      <c r="E19" s="10" t="inlineStr">
        <is>
          <t>0.80</t>
        </is>
      </c>
      <c r="F19" s="12" t="n">
        <v>3.8</v>
      </c>
      <c r="G19" s="4" t="n">
        <v>19998</v>
      </c>
      <c r="H19" s="12" t="n">
        <v>10949</v>
      </c>
      <c r="I19" s="4" t="n"/>
      <c r="J19" s="6">
        <f>IF((B19*0.935 - F19*500) / (1.025*(1+$P$2/100)) &lt;= F19*500/0.15,ROUND(MAX(0, (B19*0.935 - F19*500) / (1.025*(1+$P$2/100))),0),ROUND(MAX(0, B19*0.935 / (1.175*(1+$P$2/100))),0))</f>
        <v/>
      </c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3.5" customHeight="1" s="46">
      <c r="A20" s="15" t="inlineStr">
        <is>
          <t>капюшон охотника (магистр)</t>
        </is>
      </c>
      <c r="B20" s="50" t="n">
        <v>76990</v>
      </c>
      <c r="C20" s="16" t="n">
        <v>0</v>
      </c>
      <c r="D20" s="16" t="n">
        <v>10</v>
      </c>
      <c r="E20" s="10" t="inlineStr">
        <is>
          <t>0.75</t>
        </is>
      </c>
      <c r="F20" s="12" t="n">
        <v>5.7</v>
      </c>
      <c r="G20" s="4" t="n">
        <v>59997</v>
      </c>
      <c r="H20" s="12" t="n">
        <v>16993</v>
      </c>
      <c r="I20" s="4" t="n"/>
      <c r="J20" s="6">
        <f>IF((B20*0.935 - F20*500) / (1.025*(1+$P$2/100)) &lt;= F20*500/0.15,ROUND(MAX(0, (B20*0.935 - F20*500) / (1.025*(1+$P$2/100))),0),ROUND(MAX(0, B20*0.935 / (1.175*(1+$P$2/100))),0))</f>
        <v/>
      </c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3.5" customHeight="1" s="46">
      <c r="A21" s="17" t="inlineStr">
        <is>
          <t>капюшон охотника (старейшина)</t>
        </is>
      </c>
      <c r="B21" s="50" t="n">
        <v>181977</v>
      </c>
      <c r="C21" s="16" t="n">
        <v>0</v>
      </c>
      <c r="D21" s="16" t="n">
        <v>5</v>
      </c>
      <c r="E21" s="10" t="inlineStr">
        <is>
          <t>0.75</t>
        </is>
      </c>
      <c r="F21" s="12" t="n">
        <v>8.5</v>
      </c>
      <c r="G21" s="4" t="n">
        <v>130000</v>
      </c>
      <c r="H21" s="12" t="n">
        <v>51977</v>
      </c>
      <c r="I21" s="4" t="n"/>
      <c r="J21" s="6">
        <f>IF((B21*0.935 - F21*500) / (1.025*(1+$P$2/100)) &lt;= F21*500/0.15,ROUND(MAX(0, (B21*0.935 - F21*500) / (1.025*(1+$P$2/100))),0),ROUND(MAX(0, B21*0.935 / (1.175*(1+$P$2/100))),0))</f>
        <v/>
      </c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3.5" customHeight="1" s="46">
      <c r="A22" s="7" t="inlineStr">
        <is>
          <t>капюшон убийцы (знаток)</t>
        </is>
      </c>
      <c r="B22" s="47" t="n">
        <v>2700</v>
      </c>
      <c r="C22" s="9" t="n">
        <v>0</v>
      </c>
      <c r="D22" s="9" t="n">
        <v>100</v>
      </c>
      <c r="E22" s="10" t="inlineStr">
        <is>
          <t>0.55</t>
        </is>
      </c>
      <c r="F22" s="12" t="n">
        <v>1.7</v>
      </c>
      <c r="G22" s="4" t="n">
        <v>1296</v>
      </c>
      <c r="H22" s="12" t="n">
        <v>1404</v>
      </c>
      <c r="I22" s="4" t="n"/>
      <c r="J22" s="6">
        <f>IF((B22*0.935 - F22*500) / (1.025*(1+$P$2/100)) &lt;= F22*500/0.15,ROUND(MAX(0, (B22*0.935 - F22*500) / (1.025*(1+$P$2/100))),0),ROUND(MAX(0, B22*0.935 / (1.175*(1+$P$2/100))),0))</f>
        <v/>
      </c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3.5" customHeight="1" s="46">
      <c r="A23" s="13" t="inlineStr">
        <is>
          <t>капюшон убийцы (эксперт)</t>
        </is>
      </c>
      <c r="B23" s="47" t="n">
        <v>7488</v>
      </c>
      <c r="C23" s="9" t="n">
        <v>0</v>
      </c>
      <c r="D23" s="9" t="n">
        <v>100</v>
      </c>
      <c r="E23" s="10" t="inlineStr">
        <is>
          <t>0.70</t>
        </is>
      </c>
      <c r="F23" s="12" t="n">
        <v>2.5</v>
      </c>
      <c r="G23" s="4" t="n">
        <v>3870</v>
      </c>
      <c r="H23" s="12" t="n">
        <v>3618</v>
      </c>
      <c r="I23" s="4" t="n"/>
      <c r="J23" s="6">
        <f>IF((B23*0.935 - F23*500) / (1.025*(1+$P$2/100)) &lt;= F23*500/0.15,ROUND(MAX(0, (B23*0.935 - F23*500) / (1.025*(1+$P$2/100))),0),ROUND(MAX(0, B23*0.935 / (1.175*(1+$P$2/100))),0))</f>
        <v/>
      </c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3.5" customHeight="1" s="46">
      <c r="A24" s="14" t="inlineStr">
        <is>
          <t>капюшон убийцы (мастер)</t>
        </is>
      </c>
      <c r="B24" s="47" t="n">
        <v>26545</v>
      </c>
      <c r="C24" s="9" t="n">
        <v>0</v>
      </c>
      <c r="D24" s="9" t="n">
        <v>70</v>
      </c>
      <c r="E24" s="10" t="inlineStr">
        <is>
          <t>0.80</t>
        </is>
      </c>
      <c r="F24" s="12" t="n">
        <v>3.8</v>
      </c>
      <c r="G24" s="4" t="n">
        <v>20000</v>
      </c>
      <c r="H24" s="12" t="n">
        <v>6545</v>
      </c>
      <c r="I24" s="4" t="n"/>
      <c r="J24" s="6">
        <f>IF((B24*0.935 - F24*500) / (1.025*(1+$P$2/100)) &lt;= F24*500/0.15,ROUND(MAX(0, (B24*0.935 - F24*500) / (1.025*(1+$P$2/100))),0),ROUND(MAX(0, B24*0.935 / (1.175*(1+$P$2/100))),0))</f>
        <v/>
      </c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3.5" customHeight="1" s="46">
      <c r="A25" s="15" t="inlineStr">
        <is>
          <t>капюшон убийцы (магистр)</t>
        </is>
      </c>
      <c r="B25" s="47" t="n">
        <v>79887</v>
      </c>
      <c r="C25" s="16" t="n">
        <v>0</v>
      </c>
      <c r="D25" s="16" t="n">
        <v>10</v>
      </c>
      <c r="E25" s="10" t="inlineStr">
        <is>
          <t>0.75</t>
        </is>
      </c>
      <c r="F25" s="12" t="n">
        <v>5.7</v>
      </c>
      <c r="G25" s="4" t="n">
        <v>69990</v>
      </c>
      <c r="H25" s="12" t="n">
        <v>9897</v>
      </c>
      <c r="I25" s="4" t="n"/>
      <c r="J25" s="6">
        <f>IF((B25*0.935 - F25*500) / (1.025*(1+$P$2/100)) &lt;= F25*500/0.15,ROUND(MAX(0, (B25*0.935 - F25*500) / (1.025*(1+$P$2/100))),0),ROUND(MAX(0, B25*0.935 / (1.175*(1+$P$2/100))),0))</f>
        <v/>
      </c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3.5" customHeight="1" s="46">
      <c r="A26" s="17" t="inlineStr">
        <is>
          <t>капюшон убийцы (старейшина)</t>
        </is>
      </c>
      <c r="B26" s="47" t="n">
        <v>183988</v>
      </c>
      <c r="C26" s="16" t="n">
        <v>0</v>
      </c>
      <c r="D26" s="16" t="n">
        <v>5</v>
      </c>
      <c r="E26" s="10" t="inlineStr">
        <is>
          <t>0.75</t>
        </is>
      </c>
      <c r="F26" s="12" t="n">
        <v>8.5</v>
      </c>
      <c r="G26" s="4" t="n">
        <v>259997</v>
      </c>
      <c r="H26" s="12" t="n">
        <v>-76009</v>
      </c>
      <c r="I26" s="4" t="n"/>
      <c r="J26" s="6">
        <f>IF((B26*0.935 - F26*500) / (1.025*(1+$P$2/100)) &lt;= F26*500/0.15,ROUND(MAX(0, (B26*0.935 - F26*500) / (1.025*(1+$P$2/100))),0),ROUND(MAX(0, B26*0.935 / (1.175*(1+$P$2/100))),0))</f>
        <v/>
      </c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3.5" customHeight="1" s="46">
      <c r="A27" s="7" t="inlineStr">
        <is>
          <t>капюшон наемника (знаток)</t>
        </is>
      </c>
      <c r="B27" s="51" t="n">
        <v>3775</v>
      </c>
      <c r="C27" s="9" t="n">
        <v>0</v>
      </c>
      <c r="D27" s="9" t="n">
        <v>100</v>
      </c>
      <c r="E27" s="10" t="inlineStr">
        <is>
          <t>0.55</t>
        </is>
      </c>
      <c r="F27" s="12" t="n">
        <v>1.7</v>
      </c>
      <c r="G27" s="4" t="n">
        <v>1499</v>
      </c>
      <c r="H27" s="12" t="n">
        <v>2276</v>
      </c>
      <c r="I27" s="4" t="n"/>
      <c r="J27" s="6">
        <f>IF((B27*0.935 - F27*500) / (1.025*(1+$P$2/100)) &lt;= F27*500/0.15,ROUND(MAX(0, (B27*0.935 - F27*500) / (1.025*(1+$P$2/100))),0),ROUND(MAX(0, B27*0.935 / (1.175*(1+$P$2/100))),0))</f>
        <v/>
      </c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3.5" customHeight="1" s="46">
      <c r="A28" s="13" t="inlineStr">
        <is>
          <t>капюшон наемника (эксперт)</t>
        </is>
      </c>
      <c r="B28" s="51" t="n">
        <v>8862</v>
      </c>
      <c r="C28" s="9" t="n">
        <v>0</v>
      </c>
      <c r="D28" s="9" t="n">
        <v>100</v>
      </c>
      <c r="E28" s="10" t="inlineStr">
        <is>
          <t>0.70</t>
        </is>
      </c>
      <c r="F28" s="12" t="n">
        <v>2.5</v>
      </c>
      <c r="G28" s="4" t="n">
        <v>5300</v>
      </c>
      <c r="H28" s="12" t="n">
        <v>3562</v>
      </c>
      <c r="I28" s="4" t="n"/>
      <c r="J28" s="6">
        <f>IF((B28*0.935 - F28*500) / (1.025*(1+$P$2/100)) &lt;= F28*500/0.15,ROUND(MAX(0, (B28*0.935 - F28*500) / (1.025*(1+$P$2/100))),0),ROUND(MAX(0, B28*0.935 / (1.175*(1+$P$2/100))),0))</f>
        <v/>
      </c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3.5" customHeight="1" s="46">
      <c r="A29" s="14" t="inlineStr">
        <is>
          <t>капюшон наемника (мастер)</t>
        </is>
      </c>
      <c r="B29" s="51" t="n">
        <v>35120</v>
      </c>
      <c r="C29" s="9" t="n">
        <v>0</v>
      </c>
      <c r="D29" s="9" t="n">
        <v>70</v>
      </c>
      <c r="E29" s="10" t="inlineStr">
        <is>
          <t>0.80</t>
        </is>
      </c>
      <c r="F29" s="12" t="n">
        <v>3.8</v>
      </c>
      <c r="G29" s="4" t="n">
        <v>20990</v>
      </c>
      <c r="H29" s="12" t="n">
        <v>14130</v>
      </c>
      <c r="I29" s="4" t="n"/>
      <c r="J29" s="6">
        <f>IF((B29*0.935 - F29*500) / (1.025*(1+$P$2/100)) &lt;= F29*500/0.15,ROUND(MAX(0, (B29*0.935 - F29*500) / (1.025*(1+$P$2/100))),0),ROUND(MAX(0, B29*0.935 / (1.175*(1+$P$2/100))),0))</f>
        <v/>
      </c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3.5" customHeight="1" s="46">
      <c r="A30" s="15" t="inlineStr">
        <is>
          <t>капюшон наемника (магистр)</t>
        </is>
      </c>
      <c r="B30" s="51" t="n">
        <v>79890</v>
      </c>
      <c r="C30" s="16" t="n">
        <v>0</v>
      </c>
      <c r="D30" s="16" t="n">
        <v>10</v>
      </c>
      <c r="E30" s="10" t="inlineStr">
        <is>
          <t>0.75</t>
        </is>
      </c>
      <c r="F30" s="12" t="n">
        <v>5.7</v>
      </c>
      <c r="G30" s="4" t="n">
        <v>63986</v>
      </c>
      <c r="H30" s="12" t="n">
        <v>15904</v>
      </c>
      <c r="I30" s="4" t="n"/>
      <c r="J30" s="6">
        <f>IF((B30*0.935 - F30*500) / (1.025*(1+$P$2/100)) &lt;= F30*500/0.15,ROUND(MAX(0, (B30*0.935 - F30*500) / (1.025*(1+$P$2/100))),0),ROUND(MAX(0, B30*0.935 / (1.175*(1+$P$2/100))),0))</f>
        <v/>
      </c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3.5" customHeight="1" s="46">
      <c r="A31" s="17" t="inlineStr">
        <is>
          <t>капюшон наемника (старейшина)</t>
        </is>
      </c>
      <c r="B31" s="51" t="n">
        <v>199991</v>
      </c>
      <c r="C31" s="16" t="n">
        <v>0</v>
      </c>
      <c r="D31" s="16" t="n">
        <v>5</v>
      </c>
      <c r="E31" s="10" t="inlineStr">
        <is>
          <t>0.75</t>
        </is>
      </c>
      <c r="F31" s="12" t="n">
        <v>8.5</v>
      </c>
      <c r="G31" s="4" t="n">
        <v>143978</v>
      </c>
      <c r="H31" s="12" t="n">
        <v>56013</v>
      </c>
      <c r="I31" s="4" t="n"/>
      <c r="J31" s="6">
        <f>IF((B31*0.935 - F31*500) / (1.025*(1+$P$2/100)) &lt;= F31*500/0.15,ROUND(MAX(0, (B31*0.935 - F31*500) / (1.025*(1+$P$2/100))),0),ROUND(MAX(0, B31*0.935 / (1.175*(1+$P$2/100))),0))</f>
        <v/>
      </c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3.5" customHeight="1" s="46">
      <c r="A32" s="7" t="inlineStr">
        <is>
          <t>колпак ученого (знаток)</t>
        </is>
      </c>
      <c r="B32" s="52" t="n">
        <v>2299</v>
      </c>
      <c r="C32" s="9" t="n">
        <v>0</v>
      </c>
      <c r="D32" s="9" t="n">
        <v>100</v>
      </c>
      <c r="E32" s="10" t="inlineStr">
        <is>
          <t>0.55</t>
        </is>
      </c>
      <c r="F32" s="12" t="n">
        <v>1.7</v>
      </c>
      <c r="G32" s="4" t="n">
        <v>1244</v>
      </c>
      <c r="H32" s="12" t="n">
        <v>1055</v>
      </c>
      <c r="I32" s="4" t="n"/>
      <c r="J32" s="6">
        <f>IF((B32*0.935 - F32*500) / (1.025*(1+$P$2/100)) &lt;= F32*500/0.15,ROUND(MAX(0, (B32*0.935 - F32*500) / (1.025*(1+$P$2/100))),0),ROUND(MAX(0, B32*0.935 / (1.175*(1+$P$2/100))),0))</f>
        <v/>
      </c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3.5" customHeight="1" s="46">
      <c r="A33" s="13" t="inlineStr">
        <is>
          <t>колпак ученого (эксперт)</t>
        </is>
      </c>
      <c r="B33" s="52" t="n">
        <v>7600</v>
      </c>
      <c r="C33" s="9" t="n">
        <v>0</v>
      </c>
      <c r="D33" s="9" t="n">
        <v>100</v>
      </c>
      <c r="E33" s="10" t="inlineStr">
        <is>
          <t>0.70</t>
        </is>
      </c>
      <c r="F33" s="12" t="n">
        <v>2.5</v>
      </c>
      <c r="G33" s="4" t="n">
        <v>3968</v>
      </c>
      <c r="H33" s="12" t="n">
        <v>3632</v>
      </c>
      <c r="I33" s="4" t="n"/>
      <c r="J33" s="6">
        <f>IF((B33*0.935 - F33*500) / (1.025*(1+$P$2/100)) &lt;= F33*500/0.15,ROUND(MAX(0, (B33*0.935 - F33*500) / (1.025*(1+$P$2/100))),0),ROUND(MAX(0, B33*0.935 / (1.175*(1+$P$2/100))),0))</f>
        <v/>
      </c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3.5" customHeight="1" s="46">
      <c r="A34" s="14" t="inlineStr">
        <is>
          <t>колпак ученого (мастер)</t>
        </is>
      </c>
      <c r="B34" s="52" t="n">
        <v>24382</v>
      </c>
      <c r="C34" s="9" t="n">
        <v>0</v>
      </c>
      <c r="D34" s="9" t="n">
        <v>70</v>
      </c>
      <c r="E34" s="10" t="inlineStr">
        <is>
          <t>0.80</t>
        </is>
      </c>
      <c r="F34" s="12" t="n">
        <v>3.8</v>
      </c>
      <c r="G34" s="4" t="n">
        <v>15991</v>
      </c>
      <c r="H34" s="12" t="n">
        <v>8391</v>
      </c>
      <c r="I34" s="4" t="n"/>
      <c r="J34" s="6">
        <f>IF((B34*0.935 - F34*500) / (1.025*(1+$P$2/100)) &lt;= F34*500/0.15,ROUND(MAX(0, (B34*0.935 - F34*500) / (1.025*(1+$P$2/100))),0),ROUND(MAX(0, B34*0.935 / (1.175*(1+$P$2/100))),0))</f>
        <v/>
      </c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3.5" customHeight="1" s="46">
      <c r="A35" s="15" t="inlineStr">
        <is>
          <t>колпак ученого (магистр)</t>
        </is>
      </c>
      <c r="B35" s="52" t="n">
        <v>63997</v>
      </c>
      <c r="C35" s="16" t="n">
        <v>0</v>
      </c>
      <c r="D35" s="16" t="n">
        <v>10</v>
      </c>
      <c r="E35" s="10" t="inlineStr">
        <is>
          <t>0.75</t>
        </is>
      </c>
      <c r="F35" s="12" t="n">
        <v>5.7</v>
      </c>
      <c r="G35" s="4" t="n">
        <v>44991</v>
      </c>
      <c r="H35" s="12" t="n">
        <v>19006</v>
      </c>
      <c r="I35" s="4" t="n"/>
      <c r="J35" s="6">
        <f>IF((B35*0.935 - F35*500) / (1.025*(1+$P$2/100)) &lt;= F35*500/0.15,ROUND(MAX(0, (B35*0.935 - F35*500) / (1.025*(1+$P$2/100))),0),ROUND(MAX(0, B35*0.935 / (1.175*(1+$P$2/100))),0))</f>
        <v/>
      </c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3.5" customHeight="1" s="46">
      <c r="A36" s="17" t="inlineStr">
        <is>
          <t>колпак ученого (старейшина)</t>
        </is>
      </c>
      <c r="B36" s="52" t="n">
        <v>158993</v>
      </c>
      <c r="C36" s="16" t="n">
        <v>0</v>
      </c>
      <c r="D36" s="16" t="n">
        <v>5</v>
      </c>
      <c r="E36" s="10" t="inlineStr">
        <is>
          <t>0.75</t>
        </is>
      </c>
      <c r="F36" s="12" t="n">
        <v>8.5</v>
      </c>
      <c r="G36" s="4" t="n">
        <v>119992</v>
      </c>
      <c r="H36" s="12" t="n">
        <v>39001</v>
      </c>
      <c r="I36" s="4" t="n"/>
      <c r="J36" s="6">
        <f>IF((B36*0.935 - F36*500) / (1.025*(1+$P$2/100)) &lt;= F36*500/0.15,ROUND(MAX(0, (B36*0.935 - F36*500) / (1.025*(1+$P$2/100))),0),ROUND(MAX(0, B36*0.935 / (1.175*(1+$P$2/100))),0))</f>
        <v/>
      </c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3.5" customHeight="1" s="46">
      <c r="A37" s="7" t="inlineStr">
        <is>
          <t>колпак клирика (знаток)</t>
        </is>
      </c>
      <c r="B37" s="53" t="n">
        <v>3035</v>
      </c>
      <c r="C37" s="9" t="n">
        <v>0</v>
      </c>
      <c r="D37" s="9" t="n">
        <v>100</v>
      </c>
      <c r="E37" s="10" t="inlineStr">
        <is>
          <t>0.55</t>
        </is>
      </c>
      <c r="F37" s="12" t="n">
        <v>1.7</v>
      </c>
      <c r="G37" s="4" t="n">
        <v>1470</v>
      </c>
      <c r="H37" s="12" t="n">
        <v>1565</v>
      </c>
      <c r="I37" s="4" t="n"/>
      <c r="J37" s="6">
        <f>IF((B37*0.935 - F37*500) / (1.025*(1+$P$2/100)) &lt;= F37*500/0.15,ROUND(MAX(0, (B37*0.935 - F37*500) / (1.025*(1+$P$2/100))),0),ROUND(MAX(0, B37*0.935 / (1.175*(1+$P$2/100))),0))</f>
        <v/>
      </c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3.5" customHeight="1" s="46">
      <c r="A38" s="13" t="inlineStr">
        <is>
          <t>колпак клирика (эксперт)</t>
        </is>
      </c>
      <c r="B38" s="53" t="n">
        <v>7842</v>
      </c>
      <c r="C38" s="9" t="n">
        <v>0</v>
      </c>
      <c r="D38" s="9" t="n">
        <v>100</v>
      </c>
      <c r="E38" s="10" t="inlineStr">
        <is>
          <t>0.70</t>
        </is>
      </c>
      <c r="F38" s="12" t="n">
        <v>2.5</v>
      </c>
      <c r="G38" s="4" t="n">
        <v>4075</v>
      </c>
      <c r="H38" s="12" t="n">
        <v>3767</v>
      </c>
      <c r="I38" s="4" t="n"/>
      <c r="J38" s="6">
        <f>IF((B38*0.935 - F38*500) / (1.025*(1+$P$2/100)) &lt;= F38*500/0.15,ROUND(MAX(0, (B38*0.935 - F38*500) / (1.025*(1+$P$2/100))),0),ROUND(MAX(0, B38*0.935 / (1.175*(1+$P$2/100))),0))</f>
        <v/>
      </c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3.5" customHeight="1" s="46">
      <c r="A39" s="14" t="inlineStr">
        <is>
          <t>колпак клирика (мастер)</t>
        </is>
      </c>
      <c r="B39" s="53" t="n">
        <v>24550</v>
      </c>
      <c r="C39" s="9" t="n">
        <v>0</v>
      </c>
      <c r="D39" s="9" t="n">
        <v>70</v>
      </c>
      <c r="E39" s="10" t="inlineStr">
        <is>
          <t>0.80</t>
        </is>
      </c>
      <c r="F39" s="12" t="n">
        <v>3.8</v>
      </c>
      <c r="G39" s="4" t="n">
        <v>15998</v>
      </c>
      <c r="H39" s="12" t="n">
        <v>8552</v>
      </c>
      <c r="I39" s="4" t="n"/>
      <c r="J39" s="6">
        <f>IF((B39*0.935 - F39*500) / (1.025*(1+$P$2/100)) &lt;= F39*500/0.15,ROUND(MAX(0, (B39*0.935 - F39*500) / (1.025*(1+$P$2/100))),0),ROUND(MAX(0, B39*0.935 / (1.175*(1+$P$2/100))),0))</f>
        <v/>
      </c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3.5" customHeight="1" s="46">
      <c r="A40" s="15" t="inlineStr">
        <is>
          <t>колпак клирика (магистр)</t>
        </is>
      </c>
      <c r="B40" s="53" t="n">
        <v>59995</v>
      </c>
      <c r="C40" s="16" t="n">
        <v>0</v>
      </c>
      <c r="D40" s="16" t="n">
        <v>10</v>
      </c>
      <c r="E40" s="10" t="inlineStr">
        <is>
          <t>0.75</t>
        </is>
      </c>
      <c r="F40" s="12" t="n">
        <v>5.7</v>
      </c>
      <c r="G40" s="4" t="n">
        <v>39995</v>
      </c>
      <c r="H40" s="12" t="n">
        <v>20000</v>
      </c>
      <c r="I40" s="4" t="n"/>
      <c r="J40" s="6">
        <f>IF((B40*0.935 - F40*500) / (1.025*(1+$P$2/100)) &lt;= F40*500/0.15,ROUND(MAX(0, (B40*0.935 - F40*500) / (1.025*(1+$P$2/100))),0),ROUND(MAX(0, B40*0.935 / (1.175*(1+$P$2/100))),0))</f>
        <v/>
      </c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3.5" customHeight="1" s="46">
      <c r="A41" s="17" t="inlineStr">
        <is>
          <t>колпак клирика (старейшина)</t>
        </is>
      </c>
      <c r="B41" s="53" t="n">
        <v>185524</v>
      </c>
      <c r="C41" s="16" t="n">
        <v>0</v>
      </c>
      <c r="D41" s="16" t="n">
        <v>5</v>
      </c>
      <c r="E41" s="10" t="inlineStr">
        <is>
          <t>0.75</t>
        </is>
      </c>
      <c r="F41" s="12" t="n">
        <v>8.5</v>
      </c>
      <c r="G41" s="4" t="n">
        <v>229984</v>
      </c>
      <c r="H41" s="12" t="n">
        <v>-44460</v>
      </c>
      <c r="I41" s="4" t="n"/>
      <c r="J41" s="6">
        <f>IF((B41*0.935 - F41*500) / (1.025*(1+$P$2/100)) &lt;= F41*500/0.15,ROUND(MAX(0, (B41*0.935 - F41*500) / (1.025*(1+$P$2/100))),0),ROUND(MAX(0, B41*0.935 / (1.175*(1+$P$2/100))),0))</f>
        <v/>
      </c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3.5" customHeight="1" s="46">
      <c r="A42" s="7" t="inlineStr">
        <is>
          <t>колпак чародея (знаток)</t>
        </is>
      </c>
      <c r="B42" s="49" t="n">
        <v>2771</v>
      </c>
      <c r="C42" s="9" t="n">
        <v>0</v>
      </c>
      <c r="D42" s="9" t="n">
        <v>100</v>
      </c>
      <c r="E42" s="10" t="inlineStr">
        <is>
          <t>0.55</t>
        </is>
      </c>
      <c r="F42" s="12" t="n">
        <v>1.7</v>
      </c>
      <c r="G42" s="4" t="n">
        <v>1246</v>
      </c>
      <c r="H42" s="12" t="n">
        <v>1525</v>
      </c>
      <c r="I42" s="4" t="n"/>
      <c r="J42" s="6">
        <f>IF((B42*0.935 - F42*500) / (1.025*(1+$P$2/100)) &lt;= F42*500/0.15,ROUND(MAX(0, (B42*0.935 - F42*500) / (1.025*(1+$P$2/100))),0),ROUND(MAX(0, B42*0.935 / (1.175*(1+$P$2/100))),0))</f>
        <v/>
      </c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3.5" customHeight="1" s="46">
      <c r="A43" s="13" t="inlineStr">
        <is>
          <t>колпак чародея (эксперт)</t>
        </is>
      </c>
      <c r="B43" s="49" t="n">
        <v>8000</v>
      </c>
      <c r="C43" s="9" t="n">
        <v>0</v>
      </c>
      <c r="D43" s="9" t="n">
        <v>100</v>
      </c>
      <c r="E43" s="10" t="inlineStr">
        <is>
          <t>0.70</t>
        </is>
      </c>
      <c r="F43" s="12" t="n">
        <v>2.5</v>
      </c>
      <c r="G43" s="4" t="n">
        <v>4400</v>
      </c>
      <c r="H43" s="12" t="n">
        <v>3600</v>
      </c>
      <c r="I43" s="4" t="n"/>
      <c r="J43" s="6">
        <f>IF((B43*0.935 - F43*500) / (1.025*(1+$P$2/100)) &lt;= F43*500/0.15,ROUND(MAX(0, (B43*0.935 - F43*500) / (1.025*(1+$P$2/100))),0),ROUND(MAX(0, B43*0.935 / (1.175*(1+$P$2/100))),0))</f>
        <v/>
      </c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3.5" customHeight="1" s="46">
      <c r="A44" s="14" t="inlineStr">
        <is>
          <t>колпак чародея (мастер)</t>
        </is>
      </c>
      <c r="B44" s="49" t="n">
        <v>24790</v>
      </c>
      <c r="C44" s="9" t="n">
        <v>0</v>
      </c>
      <c r="D44" s="9" t="n">
        <v>70</v>
      </c>
      <c r="E44" s="10" t="inlineStr">
        <is>
          <t>0.80</t>
        </is>
      </c>
      <c r="F44" s="12" t="n">
        <v>3.8</v>
      </c>
      <c r="G44" s="4" t="n">
        <v>14928</v>
      </c>
      <c r="H44" s="12" t="n">
        <v>9862</v>
      </c>
      <c r="I44" s="4" t="n"/>
      <c r="J44" s="6">
        <f>IF((B44*0.935 - F44*500) / (1.025*(1+$P$2/100)) &lt;= F44*500/0.15,ROUND(MAX(0, (B44*0.935 - F44*500) / (1.025*(1+$P$2/100))),0),ROUND(MAX(0, B44*0.935 / (1.175*(1+$P$2/100))),0))</f>
        <v/>
      </c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3.5" customHeight="1" s="46">
      <c r="A45" s="15" t="inlineStr">
        <is>
          <t>колпак чародея (магистр)</t>
        </is>
      </c>
      <c r="B45" s="49" t="n">
        <v>60296</v>
      </c>
      <c r="C45" s="16" t="n">
        <v>0</v>
      </c>
      <c r="D45" s="16" t="n">
        <v>10</v>
      </c>
      <c r="E45" s="10" t="inlineStr">
        <is>
          <t>0.75</t>
        </is>
      </c>
      <c r="F45" s="12" t="n">
        <v>5.7</v>
      </c>
      <c r="G45" s="4" t="n">
        <v>42000</v>
      </c>
      <c r="H45" s="12" t="n">
        <v>18296</v>
      </c>
      <c r="I45" s="4" t="n"/>
      <c r="J45" s="6">
        <f>IF((B45*0.935 - F45*500) / (1.025*(1+$P$2/100)) &lt;= F45*500/0.15,ROUND(MAX(0, (B45*0.935 - F45*500) / (1.025*(1+$P$2/100))),0),ROUND(MAX(0, B45*0.935 / (1.175*(1+$P$2/100))),0))</f>
        <v/>
      </c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3.5" customHeight="1" s="46">
      <c r="A46" s="17" t="inlineStr">
        <is>
          <t>колпак чародея (старейшина)</t>
        </is>
      </c>
      <c r="B46" s="49" t="n">
        <v>156635</v>
      </c>
      <c r="C46" s="16" t="n">
        <v>0</v>
      </c>
      <c r="D46" s="16" t="n">
        <v>5</v>
      </c>
      <c r="E46" s="10" t="inlineStr">
        <is>
          <t>0.75</t>
        </is>
      </c>
      <c r="F46" s="12" t="n">
        <v>8.5</v>
      </c>
      <c r="G46" s="4" t="n">
        <v>117972</v>
      </c>
      <c r="H46" s="12" t="n">
        <v>38663</v>
      </c>
      <c r="I46" s="4" t="n"/>
      <c r="J46" s="6">
        <f>IF((B46*0.935 - F46*500) / (1.025*(1+$P$2/100)) &lt;= F46*500/0.15,ROUND(MAX(0, (B46*0.935 - F46*500) / (1.025*(1+$P$2/100))),0),ROUND(MAX(0, B46*0.935 / (1.175*(1+$P$2/100))),0))</f>
        <v/>
      </c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3.5" customHeight="1" s="46">
      <c r="A47" s="7" t="inlineStr">
        <is>
          <t>броня солдата (знаток)</t>
        </is>
      </c>
      <c r="B47" s="47" t="n">
        <v>5687</v>
      </c>
      <c r="C47" s="9" t="n">
        <v>0</v>
      </c>
      <c r="D47" s="9" t="n">
        <v>100</v>
      </c>
      <c r="E47" s="10" t="inlineStr">
        <is>
          <t>0.55</t>
        </is>
      </c>
      <c r="F47" s="12" t="n">
        <v>3.4</v>
      </c>
      <c r="G47" s="4" t="n">
        <v>2000</v>
      </c>
      <c r="H47" s="12" t="n">
        <v>3687</v>
      </c>
      <c r="I47" s="4" t="n"/>
      <c r="J47" s="6">
        <f>IF((B47*0.935 - F47*500) / (1.025*(1+$P$2/100)) &lt;= F47*500/0.15,ROUND(MAX(0, (B47*0.935 - F47*500) / (1.025*(1+$P$2/100))),0),ROUND(MAX(0, B47*0.935 / (1.175*(1+$P$2/100))),0))</f>
        <v/>
      </c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3.5" customHeight="1" s="46">
      <c r="A48" s="13" t="inlineStr">
        <is>
          <t>броня солдата (эксперт)</t>
        </is>
      </c>
      <c r="B48" s="47" t="n">
        <v>13791</v>
      </c>
      <c r="C48" s="9" t="n">
        <v>0</v>
      </c>
      <c r="D48" s="9" t="n">
        <v>100</v>
      </c>
      <c r="E48" s="10" t="inlineStr">
        <is>
          <t>0.70</t>
        </is>
      </c>
      <c r="F48" s="12" t="n">
        <v>5.1</v>
      </c>
      <c r="G48" s="4" t="n">
        <v>8890</v>
      </c>
      <c r="H48" s="12" t="n">
        <v>4901</v>
      </c>
      <c r="I48" s="4" t="n"/>
      <c r="J48" s="6">
        <f>IF((B48*0.935 - F48*500) / (1.025*(1+$P$2/100)) &lt;= F48*500/0.15,ROUND(MAX(0, (B48*0.935 - F48*500) / (1.025*(1+$P$2/100))),0),ROUND(MAX(0, B48*0.935 / (1.175*(1+$P$2/100))),0))</f>
        <v/>
      </c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3.5" customHeight="1" s="46">
      <c r="A49" s="14" t="inlineStr">
        <is>
          <t>броня солдата (мастер)</t>
        </is>
      </c>
      <c r="B49" s="47" t="n">
        <v>39897</v>
      </c>
      <c r="C49" s="9" t="n">
        <v>0</v>
      </c>
      <c r="D49" s="9" t="n">
        <v>70</v>
      </c>
      <c r="E49" s="10" t="inlineStr">
        <is>
          <t>0.80</t>
        </is>
      </c>
      <c r="F49" s="12" t="n">
        <v>7.6</v>
      </c>
      <c r="G49" s="4" t="n">
        <v>29000</v>
      </c>
      <c r="H49" s="12" t="n">
        <v>10897</v>
      </c>
      <c r="I49" s="4" t="n"/>
      <c r="J49" s="6">
        <f>IF((B49*0.935 - F49*500) / (1.025*(1+$P$2/100)) &lt;= F49*500/0.15,ROUND(MAX(0, (B49*0.935 - F49*500) / (1.025*(1+$P$2/100))),0),ROUND(MAX(0, B49*0.935 / (1.175*(1+$P$2/100))),0))</f>
        <v/>
      </c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3.5" customHeight="1" s="46">
      <c r="A50" s="15" t="inlineStr">
        <is>
          <t>броня солдата (магистр)</t>
        </is>
      </c>
      <c r="B50" s="47" t="n">
        <v>90934</v>
      </c>
      <c r="C50" s="16" t="n">
        <v>0</v>
      </c>
      <c r="D50" s="16" t="n">
        <v>10</v>
      </c>
      <c r="E50" s="10" t="inlineStr">
        <is>
          <t>0.75</t>
        </is>
      </c>
      <c r="F50" s="12" t="n">
        <v>11.4</v>
      </c>
      <c r="G50" s="4" t="n">
        <v>60998</v>
      </c>
      <c r="H50" s="12" t="n">
        <v>29936</v>
      </c>
      <c r="I50" s="4" t="n"/>
      <c r="J50" s="6">
        <f>IF((B50*0.935 - F50*500) / (1.025*(1+$P$2/100)) &lt;= F50*500/0.15,ROUND(MAX(0, (B50*0.935 - F50*500) / (1.025*(1+$P$2/100))),0),ROUND(MAX(0, B50*0.935 / (1.175*(1+$P$2/100))),0))</f>
        <v/>
      </c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3.5" customHeight="1" s="46">
      <c r="A51" s="17" t="inlineStr">
        <is>
          <t>броня солдата (старейшина)</t>
        </is>
      </c>
      <c r="B51" s="47" t="n">
        <v>281992</v>
      </c>
      <c r="C51" s="16" t="n">
        <v>0</v>
      </c>
      <c r="D51" s="16" t="n">
        <v>5</v>
      </c>
      <c r="E51" s="10" t="inlineStr">
        <is>
          <t>0.75</t>
        </is>
      </c>
      <c r="F51" s="12" t="n">
        <v>17.1</v>
      </c>
      <c r="G51" s="4" t="n">
        <v>220975</v>
      </c>
      <c r="H51" s="12" t="n">
        <v>61017</v>
      </c>
      <c r="I51" s="4" t="n"/>
      <c r="J51" s="6">
        <f>IF((B51*0.935 - F51*500) / (1.025*(1+$P$2/100)) &lt;= F51*500/0.15,ROUND(MAX(0, (B51*0.935 - F51*500) / (1.025*(1+$P$2/100))),0),ROUND(MAX(0, B51*0.935 / (1.175*(1+$P$2/100))),0))</f>
        <v/>
      </c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3.5" customHeight="1" s="46">
      <c r="A52" s="7" t="inlineStr">
        <is>
          <t>броня хранителя (знаток)</t>
        </is>
      </c>
      <c r="B52" s="51" t="n">
        <v>5712</v>
      </c>
      <c r="C52" s="9" t="n">
        <v>0</v>
      </c>
      <c r="D52" s="9" t="n">
        <v>100</v>
      </c>
      <c r="E52" s="10" t="inlineStr">
        <is>
          <t>0.55</t>
        </is>
      </c>
      <c r="F52" s="12" t="n">
        <v>3.4</v>
      </c>
      <c r="G52" s="4" t="n">
        <v>1970</v>
      </c>
      <c r="H52" s="12" t="n">
        <v>3742</v>
      </c>
      <c r="I52" s="4" t="n"/>
      <c r="J52" s="6">
        <f>IF((B52*0.935 - F52*500) / (1.025*(1+$P$2/100)) &lt;= F52*500/0.15,ROUND(MAX(0, (B52*0.935 - F52*500) / (1.025*(1+$P$2/100))),0),ROUND(MAX(0, B52*0.935 / (1.175*(1+$P$2/100))),0))</f>
        <v/>
      </c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3.5" customHeight="1" s="46">
      <c r="A53" s="13" t="inlineStr">
        <is>
          <t>броня хранителя (эксперт)</t>
        </is>
      </c>
      <c r="B53" s="51" t="n">
        <v>14770</v>
      </c>
      <c r="C53" s="9" t="n">
        <v>0</v>
      </c>
      <c r="D53" s="9" t="n">
        <v>100</v>
      </c>
      <c r="E53" s="10" t="inlineStr">
        <is>
          <t>0.70</t>
        </is>
      </c>
      <c r="F53" s="12" t="n">
        <v>5.1</v>
      </c>
      <c r="G53" s="4" t="n">
        <v>8193</v>
      </c>
      <c r="H53" s="12" t="n">
        <v>6577</v>
      </c>
      <c r="I53" s="4" t="n"/>
      <c r="J53" s="6">
        <f>IF((B53*0.935 - F53*500) / (1.025*(1+$P$2/100)) &lt;= F53*500/0.15,ROUND(MAX(0, (B53*0.935 - F53*500) / (1.025*(1+$P$2/100))),0),ROUND(MAX(0, B53*0.935 / (1.175*(1+$P$2/100))),0))</f>
        <v/>
      </c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3.5" customHeight="1" s="46">
      <c r="A54" s="14" t="inlineStr">
        <is>
          <t>броня хранителя (мастер)</t>
        </is>
      </c>
      <c r="B54" s="51" t="n">
        <v>38997</v>
      </c>
      <c r="C54" s="9" t="n">
        <v>0</v>
      </c>
      <c r="D54" s="9" t="n">
        <v>70</v>
      </c>
      <c r="E54" s="10" t="inlineStr">
        <is>
          <t>0.80</t>
        </is>
      </c>
      <c r="F54" s="12" t="n">
        <v>7.6</v>
      </c>
      <c r="G54" s="4" t="n">
        <v>27965</v>
      </c>
      <c r="H54" s="12" t="n">
        <v>11032</v>
      </c>
      <c r="I54" s="4" t="n"/>
      <c r="J54" s="6">
        <f>IF((B54*0.935 - F54*500) / (1.025*(1+$P$2/100)) &lt;= F54*500/0.15,ROUND(MAX(0, (B54*0.935 - F54*500) / (1.025*(1+$P$2/100))),0),ROUND(MAX(0, B54*0.935 / (1.175*(1+$P$2/100))),0))</f>
        <v/>
      </c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3.5" customHeight="1" s="46">
      <c r="A55" s="15" t="inlineStr">
        <is>
          <t>броня хранителя (магистр)</t>
        </is>
      </c>
      <c r="B55" s="51" t="n">
        <v>87874</v>
      </c>
      <c r="C55" s="16" t="n">
        <v>0</v>
      </c>
      <c r="D55" s="16" t="n">
        <v>10</v>
      </c>
      <c r="E55" s="10" t="inlineStr">
        <is>
          <t>0.75</t>
        </is>
      </c>
      <c r="F55" s="12" t="n">
        <v>11.4</v>
      </c>
      <c r="G55" s="4" t="n">
        <v>59998</v>
      </c>
      <c r="H55" s="12" t="n">
        <v>27876</v>
      </c>
      <c r="I55" s="4" t="n"/>
      <c r="J55" s="6">
        <f>IF((B55*0.935 - F55*500) / (1.025*(1+$P$2/100)) &lt;= F55*500/0.15,ROUND(MAX(0, (B55*0.935 - F55*500) / (1.025*(1+$P$2/100))),0),ROUND(MAX(0, B55*0.935 / (1.175*(1+$P$2/100))),0))</f>
        <v/>
      </c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3.5" customHeight="1" s="46">
      <c r="A56" s="17" t="inlineStr">
        <is>
          <t>броня хранителя (старейшина)</t>
        </is>
      </c>
      <c r="B56" s="51" t="n">
        <v>258000</v>
      </c>
      <c r="C56" s="16" t="n">
        <v>0</v>
      </c>
      <c r="D56" s="16" t="n">
        <v>5</v>
      </c>
      <c r="E56" s="10" t="inlineStr">
        <is>
          <t>0.75</t>
        </is>
      </c>
      <c r="F56" s="12" t="n">
        <v>17.1</v>
      </c>
      <c r="G56" s="4" t="n">
        <v>249941</v>
      </c>
      <c r="H56" s="12" t="n">
        <v>8059</v>
      </c>
      <c r="I56" s="4" t="n"/>
      <c r="J56" s="6">
        <f>IF((B56*0.935 - F56*500) / (1.025*(1+$P$2/100)) &lt;= F56*500/0.15,ROUND(MAX(0, (B56*0.935 - F56*500) / (1.025*(1+$P$2/100))),0),ROUND(MAX(0, B56*0.935 / (1.175*(1+$P$2/100))),0))</f>
        <v/>
      </c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3.5" customHeight="1" s="46">
      <c r="A57" s="7" t="inlineStr">
        <is>
          <t>броня рыцаря (знаток)</t>
        </is>
      </c>
      <c r="B57" s="52" t="n">
        <v>5599</v>
      </c>
      <c r="C57" s="9" t="n">
        <v>0</v>
      </c>
      <c r="D57" s="9" t="n">
        <v>100</v>
      </c>
      <c r="E57" s="10" t="inlineStr">
        <is>
          <t>0.55</t>
        </is>
      </c>
      <c r="F57" s="12" t="n">
        <v>3.4</v>
      </c>
      <c r="G57" s="4" t="n">
        <v>2997</v>
      </c>
      <c r="H57" s="12" t="n">
        <v>2602</v>
      </c>
      <c r="I57" s="4" t="n"/>
      <c r="J57" s="6">
        <f>IF((B57*0.935 - F57*500) / (1.025*(1+$P$2/100)) &lt;= F57*500/0.15,ROUND(MAX(0, (B57*0.935 - F57*500) / (1.025*(1+$P$2/100))),0),ROUND(MAX(0, B57*0.935 / (1.175*(1+$P$2/100))),0))</f>
        <v/>
      </c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3.5" customHeight="1" s="46">
      <c r="A58" s="13" t="inlineStr">
        <is>
          <t>броня рыцаря (эксперт)</t>
        </is>
      </c>
      <c r="B58" s="52" t="n">
        <v>14796</v>
      </c>
      <c r="C58" s="9" t="n">
        <v>0</v>
      </c>
      <c r="D58" s="9" t="n">
        <v>100</v>
      </c>
      <c r="E58" s="10" t="inlineStr">
        <is>
          <t>0.70</t>
        </is>
      </c>
      <c r="F58" s="12" t="n">
        <v>5.1</v>
      </c>
      <c r="G58" s="18" t="n">
        <v>8299</v>
      </c>
      <c r="H58" s="12" t="n">
        <v>6497</v>
      </c>
      <c r="I58" s="6" t="n"/>
      <c r="J58" s="6">
        <f>IF((B58*0.935 - F58*500) / (1.025*(1+$P$2/100)) &lt;= F58*500/0.15,ROUND(MAX(0, (B58*0.935 - F58*500) / (1.025*(1+$P$2/100))),0),ROUND(MAX(0, B58*0.935 / (1.175*(1+$P$2/100))),0))</f>
        <v/>
      </c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3.5" customHeight="1" s="46">
      <c r="A59" s="14" t="inlineStr">
        <is>
          <t>броня рыцаря (мастер)</t>
        </is>
      </c>
      <c r="B59" s="52" t="n">
        <v>41099</v>
      </c>
      <c r="C59" s="9" t="n">
        <v>0</v>
      </c>
      <c r="D59" s="9" t="n">
        <v>70</v>
      </c>
      <c r="E59" s="10" t="inlineStr">
        <is>
          <t>0.80</t>
        </is>
      </c>
      <c r="F59" s="12" t="n">
        <v>7.6</v>
      </c>
      <c r="G59" s="18" t="n">
        <v>30103</v>
      </c>
      <c r="H59" s="12" t="n">
        <v>10996</v>
      </c>
      <c r="I59" s="6" t="n"/>
      <c r="J59" s="6">
        <f>IF((B59*0.935 - F59*500) / (1.025*(1+$P$2/100)) &lt;= F59*500/0.15,ROUND(MAX(0, (B59*0.935 - F59*500) / (1.025*(1+$P$2/100))),0),ROUND(MAX(0, B59*0.935 / (1.175*(1+$P$2/100))),0))</f>
        <v/>
      </c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3.5" customHeight="1" s="46">
      <c r="A60" s="15" t="inlineStr">
        <is>
          <t>броня рыцаря (магистр)</t>
        </is>
      </c>
      <c r="B60" s="52" t="n">
        <v>87996</v>
      </c>
      <c r="C60" s="16" t="n">
        <v>0</v>
      </c>
      <c r="D60" s="16" t="n">
        <v>10</v>
      </c>
      <c r="E60" s="10" t="inlineStr">
        <is>
          <t>0.75</t>
        </is>
      </c>
      <c r="F60" s="12" t="n">
        <v>11.4</v>
      </c>
      <c r="G60" s="18" t="n">
        <v>67868</v>
      </c>
      <c r="H60" s="12" t="n">
        <v>20128</v>
      </c>
      <c r="I60" s="6" t="n"/>
      <c r="J60" s="6">
        <f>IF((B60*0.935 - F60*500) / (1.025*(1+$P$2/100)) &lt;= F60*500/0.15,ROUND(MAX(0, (B60*0.935 - F60*500) / (1.025*(1+$P$2/100))),0),ROUND(MAX(0, B60*0.935 / (1.175*(1+$P$2/100))),0))</f>
        <v/>
      </c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3.5" customHeight="1" s="46">
      <c r="A61" s="17" t="inlineStr">
        <is>
          <t>броня рыцаря (старейшина)</t>
        </is>
      </c>
      <c r="B61" s="52" t="n">
        <v>282214</v>
      </c>
      <c r="C61" s="16" t="n">
        <v>0</v>
      </c>
      <c r="D61" s="16" t="n">
        <v>5</v>
      </c>
      <c r="E61" s="10" t="inlineStr">
        <is>
          <t>0.75</t>
        </is>
      </c>
      <c r="F61" s="12" t="n">
        <v>17.1</v>
      </c>
      <c r="G61" s="18" t="n">
        <v>298966</v>
      </c>
      <c r="H61" s="12" t="n">
        <v>-16752</v>
      </c>
      <c r="I61" s="6" t="n"/>
      <c r="J61" s="6">
        <f>IF((B61*0.935 - F61*500) / (1.025*(1+$P$2/100)) &lt;= F61*500/0.15,ROUND(MAX(0, (B61*0.935 - F61*500) / (1.025*(1+$P$2/100))),0),ROUND(MAX(0, B61*0.935 / (1.175*(1+$P$2/100))),0))</f>
        <v/>
      </c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3.5" customHeight="1" s="46">
      <c r="A62" s="7" t="inlineStr">
        <is>
          <t>куртка наемника (знаток)</t>
        </is>
      </c>
      <c r="B62" s="53" t="n">
        <v>6138</v>
      </c>
      <c r="C62" s="9" t="n">
        <v>0</v>
      </c>
      <c r="D62" s="9" t="n">
        <v>100</v>
      </c>
      <c r="E62" s="10" t="inlineStr">
        <is>
          <t>0.55</t>
        </is>
      </c>
      <c r="F62" s="12" t="n">
        <v>6.8</v>
      </c>
      <c r="G62" s="18" t="n">
        <v>3673</v>
      </c>
      <c r="H62" s="12" t="n">
        <v>2465</v>
      </c>
      <c r="I62" s="6" t="n"/>
      <c r="J62" s="6">
        <f>IF((B62*0.935 - F62*500) / (1.025*(1+$P$2/100)) &lt;= F62*500/0.15,ROUND(MAX(0, (B62*0.935 - F62*500) / (1.025*(1+$P$2/100))),0),ROUND(MAX(0, B62*0.935 / (1.175*(1+$P$2/100))),0))</f>
        <v/>
      </c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3.5" customHeight="1" s="46">
      <c r="A63" s="13" t="inlineStr">
        <is>
          <t>куртка наемника (эксперт)</t>
        </is>
      </c>
      <c r="B63" s="53" t="n">
        <v>17980</v>
      </c>
      <c r="C63" s="9" t="n">
        <v>0</v>
      </c>
      <c r="D63" s="9" t="n">
        <v>100</v>
      </c>
      <c r="E63" s="10" t="inlineStr">
        <is>
          <t>0.70</t>
        </is>
      </c>
      <c r="F63" s="12" t="n">
        <v>10.1</v>
      </c>
      <c r="G63" s="18" t="n">
        <v>10988</v>
      </c>
      <c r="H63" s="12" t="n">
        <v>6992</v>
      </c>
      <c r="I63" s="6" t="n"/>
      <c r="J63" s="6">
        <f>IF((B63*0.935 - F63*500) / (1.025*(1+$P$2/100)) &lt;= F63*500/0.15,ROUND(MAX(0, (B63*0.935 - F63*500) / (1.025*(1+$P$2/100))),0),ROUND(MAX(0, B63*0.935 / (1.175*(1+$P$2/100))),0))</f>
        <v/>
      </c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3.5" customHeight="1" s="46">
      <c r="A64" s="14" t="inlineStr">
        <is>
          <t>куртка наемника (мастер)</t>
        </is>
      </c>
      <c r="B64" s="53" t="n">
        <v>64261</v>
      </c>
      <c r="C64" s="9" t="n">
        <v>0</v>
      </c>
      <c r="D64" s="9" t="n">
        <v>70</v>
      </c>
      <c r="E64" s="10" t="inlineStr">
        <is>
          <t>0.80</t>
        </is>
      </c>
      <c r="F64" s="12" t="n">
        <v>15.2</v>
      </c>
      <c r="G64" s="18" t="n">
        <v>52971</v>
      </c>
      <c r="H64" s="12" t="n">
        <v>11290</v>
      </c>
      <c r="I64" s="6" t="n"/>
      <c r="J64" s="6">
        <f>IF((B64*0.935 - F64*500) / (1.025*(1+$P$2/100)) &lt;= F64*500/0.15,ROUND(MAX(0, (B64*0.935 - F64*500) / (1.025*(1+$P$2/100))),0),ROUND(MAX(0, B64*0.935 / (1.175*(1+$P$2/100))),0))</f>
        <v/>
      </c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3.5" customHeight="1" s="46">
      <c r="A65" s="15" t="inlineStr">
        <is>
          <t>куртка наемника (магистр)</t>
        </is>
      </c>
      <c r="B65" s="53" t="n">
        <v>168460</v>
      </c>
      <c r="C65" s="16" t="n">
        <v>0</v>
      </c>
      <c r="D65" s="16" t="n">
        <v>10</v>
      </c>
      <c r="E65" s="10" t="inlineStr">
        <is>
          <t>0.75</t>
        </is>
      </c>
      <c r="F65" s="12" t="n">
        <v>22.8</v>
      </c>
      <c r="G65" s="18" t="n">
        <v>129000</v>
      </c>
      <c r="H65" s="12" t="n">
        <v>39460</v>
      </c>
      <c r="I65" s="6" t="n"/>
      <c r="J65" s="6">
        <f>IF((B65*0.935 - F65*500) / (1.025*(1+$P$2/100)) &lt;= F65*500/0.15,ROUND(MAX(0, (B65*0.935 - F65*500) / (1.025*(1+$P$2/100))),0),ROUND(MAX(0, B65*0.935 / (1.175*(1+$P$2/100))),0))</f>
        <v/>
      </c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3.5" customHeight="1" s="46">
      <c r="A66" s="17" t="inlineStr">
        <is>
          <t>куртка наемника (старейшина)</t>
        </is>
      </c>
      <c r="B66" s="53" t="n">
        <v>375535</v>
      </c>
      <c r="C66" s="16" t="n">
        <v>0</v>
      </c>
      <c r="D66" s="16" t="n">
        <v>5</v>
      </c>
      <c r="E66" s="10" t="inlineStr">
        <is>
          <t>0.75</t>
        </is>
      </c>
      <c r="F66" s="12" t="n">
        <v>34.2</v>
      </c>
      <c r="G66" s="18" t="n">
        <v>319958</v>
      </c>
      <c r="H66" s="12" t="n">
        <v>55577</v>
      </c>
      <c r="I66" s="6" t="n"/>
      <c r="J66" s="6">
        <f>IF((B66*0.935 - F66*500) / (1.025*(1+$P$2/100)) &lt;= F66*500/0.15,ROUND(MAX(0, (B66*0.935 - F66*500) / (1.025*(1+$P$2/100))),0),ROUND(MAX(0, B66*0.935 / (1.175*(1+$P$2/100))),0))</f>
        <v/>
      </c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3.5" customHeight="1" s="46">
      <c r="A67" s="7" t="inlineStr">
        <is>
          <t>куртка охотника (знаток)</t>
        </is>
      </c>
      <c r="B67" s="49" t="n">
        <v>7432</v>
      </c>
      <c r="C67" s="9" t="n">
        <v>0</v>
      </c>
      <c r="D67" s="9" t="n">
        <v>100</v>
      </c>
      <c r="E67" s="10" t="inlineStr">
        <is>
          <t>0.55</t>
        </is>
      </c>
      <c r="F67" s="12" t="n">
        <v>6.8</v>
      </c>
      <c r="G67" s="18" t="n">
        <v>2499</v>
      </c>
      <c r="H67" s="12" t="n">
        <v>4933</v>
      </c>
      <c r="I67" s="6" t="n"/>
      <c r="J67" s="6">
        <f>IF((B67*0.935 - F67*500) / (1.025*(1+$P$2/100)) &lt;= F67*500/0.15,ROUND(MAX(0, (B67*0.935 - F67*500) / (1.025*(1+$P$2/100))),0),ROUND(MAX(0, B67*0.935 / (1.175*(1+$P$2/100))),0))</f>
        <v/>
      </c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3.5" customHeight="1" s="46">
      <c r="A68" s="13" t="inlineStr">
        <is>
          <t>куртка охотника (эксперт)</t>
        </is>
      </c>
      <c r="B68" s="49" t="n">
        <v>16308</v>
      </c>
      <c r="C68" s="9" t="n">
        <v>0</v>
      </c>
      <c r="D68" s="9" t="n">
        <v>100</v>
      </c>
      <c r="E68" s="10" t="inlineStr">
        <is>
          <t>0.70</t>
        </is>
      </c>
      <c r="F68" s="12" t="n">
        <v>10.1</v>
      </c>
      <c r="G68" s="18" t="n">
        <v>8997</v>
      </c>
      <c r="H68" s="12" t="n">
        <v>7311</v>
      </c>
      <c r="I68" s="6" t="n"/>
      <c r="J68" s="6">
        <f>IF((B68*0.935 - F68*500) / (1.025*(1+$P$2/100)) &lt;= F68*500/0.15,ROUND(MAX(0, (B68*0.935 - F68*500) / (1.025*(1+$P$2/100))),0),ROUND(MAX(0, B68*0.935 / (1.175*(1+$P$2/100))),0))</f>
        <v/>
      </c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3.5" customHeight="1" s="46">
      <c r="A69" s="14" t="inlineStr">
        <is>
          <t>куртка охотника (мастер)</t>
        </is>
      </c>
      <c r="B69" s="49" t="n">
        <v>60197</v>
      </c>
      <c r="C69" s="9" t="n">
        <v>0</v>
      </c>
      <c r="D69" s="9" t="n">
        <v>70</v>
      </c>
      <c r="E69" s="10" t="inlineStr">
        <is>
          <t>0.80</t>
        </is>
      </c>
      <c r="F69" s="12" t="n">
        <v>15.2</v>
      </c>
      <c r="G69" s="18" t="n">
        <v>41968</v>
      </c>
      <c r="H69" s="12" t="n">
        <v>18229</v>
      </c>
      <c r="I69" s="6" t="n"/>
      <c r="J69" s="6">
        <f>IF((B69*0.935 - F69*500) / (1.025*(1+$P$2/100)) &lt;= F69*500/0.15,ROUND(MAX(0, (B69*0.935 - F69*500) / (1.025*(1+$P$2/100))),0),ROUND(MAX(0, B69*0.935 / (1.175*(1+$P$2/100))),0))</f>
        <v/>
      </c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3.5" customHeight="1" s="46">
      <c r="A70" s="15" t="inlineStr">
        <is>
          <t>куртка охотника (магистр)</t>
        </is>
      </c>
      <c r="B70" s="49" t="n">
        <v>164866</v>
      </c>
      <c r="C70" s="16" t="n">
        <v>0</v>
      </c>
      <c r="D70" s="16" t="n">
        <v>10</v>
      </c>
      <c r="E70" s="10" t="inlineStr">
        <is>
          <t>0.75</t>
        </is>
      </c>
      <c r="F70" s="12" t="n">
        <v>22.8</v>
      </c>
      <c r="G70" s="18" t="n">
        <v>111110</v>
      </c>
      <c r="H70" s="12" t="n">
        <v>53756</v>
      </c>
      <c r="I70" s="6" t="n"/>
      <c r="J70" s="6">
        <f>IF((B70*0.935 - F70*500) / (1.025*(1+$P$2/100)) &lt;= F70*500/0.15,ROUND(MAX(0, (B70*0.935 - F70*500) / (1.025*(1+$P$2/100))),0),ROUND(MAX(0, B70*0.935 / (1.175*(1+$P$2/100))),0))</f>
        <v/>
      </c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3.5" customHeight="1" s="46">
      <c r="A71" s="17" t="inlineStr">
        <is>
          <t>куртка охотника (старейшина)</t>
        </is>
      </c>
      <c r="B71" s="49" t="n">
        <v>349982</v>
      </c>
      <c r="C71" s="16" t="n">
        <v>0</v>
      </c>
      <c r="D71" s="16" t="n">
        <v>5</v>
      </c>
      <c r="E71" s="10" t="inlineStr">
        <is>
          <t>0.75</t>
        </is>
      </c>
      <c r="F71" s="12" t="n">
        <v>34.2</v>
      </c>
      <c r="G71" s="18" t="n">
        <v>277582</v>
      </c>
      <c r="H71" s="12" t="n">
        <v>72400</v>
      </c>
      <c r="I71" s="6" t="n"/>
      <c r="J71" s="6">
        <f>IF((B71*0.935 - F71*500) / (1.025*(1+$P$2/100)) &lt;= F71*500/0.15,ROUND(MAX(0, (B71*0.935 - F71*500) / (1.025*(1+$P$2/100))),0),ROUND(MAX(0, B71*0.935 / (1.175*(1+$P$2/100))),0))</f>
        <v/>
      </c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3.5" customHeight="1" s="46">
      <c r="A72" s="7" t="inlineStr">
        <is>
          <t>куртка убийцы (знаток)</t>
        </is>
      </c>
      <c r="B72" s="47" t="n">
        <v>6598</v>
      </c>
      <c r="C72" s="9" t="n">
        <v>0</v>
      </c>
      <c r="D72" s="9" t="n">
        <v>100</v>
      </c>
      <c r="E72" s="10" t="inlineStr">
        <is>
          <t>0.55</t>
        </is>
      </c>
      <c r="F72" s="12" t="n">
        <v>6.8</v>
      </c>
      <c r="G72" s="18" t="n">
        <v>3000</v>
      </c>
      <c r="H72" s="12" t="n">
        <v>3598</v>
      </c>
      <c r="I72" s="6" t="n"/>
      <c r="J72" s="6">
        <f>IF((B72*0.935 - F72*500) / (1.025*(1+$P$2/100)) &lt;= F72*500/0.15,ROUND(MAX(0, (B72*0.935 - F72*500) / (1.025*(1+$P$2/100))),0),ROUND(MAX(0, B72*0.935 / (1.175*(1+$P$2/100))),0))</f>
        <v/>
      </c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3.5" customHeight="1" s="46">
      <c r="A73" s="13" t="inlineStr">
        <is>
          <t>куртка убийцы (эксперт)</t>
        </is>
      </c>
      <c r="B73" s="47" t="n">
        <v>23875</v>
      </c>
      <c r="C73" s="9" t="n">
        <v>0</v>
      </c>
      <c r="D73" s="9" t="n">
        <v>100</v>
      </c>
      <c r="E73" s="10" t="inlineStr">
        <is>
          <t>0.70</t>
        </is>
      </c>
      <c r="F73" s="12" t="n">
        <v>10.1</v>
      </c>
      <c r="G73" s="18" t="n">
        <v>11996</v>
      </c>
      <c r="H73" s="12" t="n">
        <v>11879</v>
      </c>
      <c r="I73" s="6" t="n"/>
      <c r="J73" s="6">
        <f>IF((B73*0.935 - F73*500) / (1.025*(1+$P$2/100)) &lt;= F73*500/0.15,ROUND(MAX(0, (B73*0.935 - F73*500) / (1.025*(1+$P$2/100))),0),ROUND(MAX(0, B73*0.935 / (1.175*(1+$P$2/100))),0))</f>
        <v/>
      </c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3.5" customHeight="1" s="46">
      <c r="A74" s="14" t="inlineStr">
        <is>
          <t>куртка убийцы (мастер)</t>
        </is>
      </c>
      <c r="B74" s="47" t="n">
        <v>62198</v>
      </c>
      <c r="C74" s="9" t="n">
        <v>0</v>
      </c>
      <c r="D74" s="9" t="n">
        <v>70</v>
      </c>
      <c r="E74" s="10" t="inlineStr">
        <is>
          <t>0.80</t>
        </is>
      </c>
      <c r="F74" s="12" t="n">
        <v>15.2</v>
      </c>
      <c r="G74" s="18" t="n">
        <v>39989</v>
      </c>
      <c r="H74" s="12" t="n">
        <v>22209</v>
      </c>
      <c r="I74" s="6" t="n"/>
      <c r="J74" s="6">
        <f>IF((B74*0.935 - F74*500) / (1.025*(1+$P$2/100)) &lt;= F74*500/0.15,ROUND(MAX(0, (B74*0.935 - F74*500) / (1.025*(1+$P$2/100))),0),ROUND(MAX(0, B74*0.935 / (1.175*(1+$P$2/100))),0))</f>
        <v/>
      </c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3.5" customHeight="1" s="46">
      <c r="A75" s="15" t="inlineStr">
        <is>
          <t>куртка убийцы (магистр)</t>
        </is>
      </c>
      <c r="B75" s="47" t="n">
        <v>149924</v>
      </c>
      <c r="C75" s="16" t="n">
        <v>0</v>
      </c>
      <c r="D75" s="16" t="n">
        <v>10</v>
      </c>
      <c r="E75" s="10" t="inlineStr">
        <is>
          <t>0.75</t>
        </is>
      </c>
      <c r="F75" s="12" t="n">
        <v>22.8</v>
      </c>
      <c r="G75" s="18" t="n">
        <v>99999</v>
      </c>
      <c r="H75" s="12" t="n">
        <v>49925</v>
      </c>
      <c r="I75" s="6" t="n"/>
      <c r="J75" s="6">
        <f>IF((B75*0.935 - F75*500) / (1.025*(1+$P$2/100)) &lt;= F75*500/0.15,ROUND(MAX(0, (B75*0.935 - F75*500) / (1.025*(1+$P$2/100))),0),ROUND(MAX(0, B75*0.935 / (1.175*(1+$P$2/100))),0))</f>
        <v/>
      </c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3.5" customHeight="1" s="46">
      <c r="A76" s="17" t="inlineStr">
        <is>
          <t>куртка убийцы (старейшина)</t>
        </is>
      </c>
      <c r="B76" s="47" t="n">
        <v>379988</v>
      </c>
      <c r="C76" s="16" t="n">
        <v>0</v>
      </c>
      <c r="D76" s="16" t="n">
        <v>5</v>
      </c>
      <c r="E76" s="10" t="inlineStr">
        <is>
          <t>0.75</t>
        </is>
      </c>
      <c r="F76" s="12" t="n">
        <v>34.2</v>
      </c>
      <c r="G76" s="18" t="n">
        <v>333321</v>
      </c>
      <c r="H76" s="12" t="n">
        <v>46667</v>
      </c>
      <c r="I76" s="6" t="n"/>
      <c r="J76" s="6">
        <f>IF((B76*0.935 - F76*500) / (1.025*(1+$P$2/100)) &lt;= F76*500/0.15,ROUND(MAX(0, (B76*0.935 - F76*500) / (1.025*(1+$P$2/100))),0),ROUND(MAX(0, B76*0.935 / (1.175*(1+$P$2/100))),0))</f>
        <v/>
      </c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3.5" customHeight="1" s="46">
      <c r="A77" s="7" t="inlineStr">
        <is>
          <t>мантия ученого (знаток)</t>
        </is>
      </c>
      <c r="B77" s="51" t="n">
        <v>4445</v>
      </c>
      <c r="C77" s="9" t="n">
        <v>0</v>
      </c>
      <c r="D77" s="9" t="n">
        <v>100</v>
      </c>
      <c r="E77" s="10" t="inlineStr">
        <is>
          <t>0.55</t>
        </is>
      </c>
      <c r="F77" s="12" t="n">
        <v>3.4</v>
      </c>
      <c r="G77" s="18" t="n">
        <v>2498</v>
      </c>
      <c r="H77" s="12" t="n">
        <v>1947</v>
      </c>
      <c r="I77" s="6" t="n"/>
      <c r="J77" s="6">
        <f>IF((B77*0.935 - F77*500) / (1.025*(1+$P$2/100)) &lt;= F77*500/0.15,ROUND(MAX(0, (B77*0.935 - F77*500) / (1.025*(1+$P$2/100))),0),ROUND(MAX(0, B77*0.935 / (1.175*(1+$P$2/100))),0))</f>
        <v/>
      </c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3.5" customHeight="1" s="46">
      <c r="A78" s="13" t="inlineStr">
        <is>
          <t>мантия ученого (эксперт)</t>
        </is>
      </c>
      <c r="B78" s="51" t="n">
        <v>14398</v>
      </c>
      <c r="C78" s="9" t="n">
        <v>0</v>
      </c>
      <c r="D78" s="9" t="n">
        <v>100</v>
      </c>
      <c r="E78" s="10" t="inlineStr">
        <is>
          <t>0.70</t>
        </is>
      </c>
      <c r="F78" s="12" t="n">
        <v>5.1</v>
      </c>
      <c r="G78" s="18" t="n">
        <v>6999</v>
      </c>
      <c r="H78" s="12" t="n">
        <v>7399</v>
      </c>
      <c r="I78" s="6" t="n"/>
      <c r="J78" s="6">
        <f>IF((B78*0.935 - F78*500) / (1.025*(1+$P$2/100)) &lt;= F78*500/0.15,ROUND(MAX(0, (B78*0.935 - F78*500) / (1.025*(1+$P$2/100))),0),ROUND(MAX(0, B78*0.935 / (1.175*(1+$P$2/100))),0))</f>
        <v/>
      </c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3.5" customHeight="1" s="46">
      <c r="A79" s="14" t="inlineStr">
        <is>
          <t>мантия ученого (мастер)</t>
        </is>
      </c>
      <c r="B79" s="51" t="n">
        <v>42791</v>
      </c>
      <c r="C79" s="9" t="n">
        <v>0</v>
      </c>
      <c r="D79" s="9" t="n">
        <v>70</v>
      </c>
      <c r="E79" s="10" t="inlineStr">
        <is>
          <t>0.80</t>
        </is>
      </c>
      <c r="F79" s="12" t="n">
        <v>7.6</v>
      </c>
      <c r="G79" s="18" t="n">
        <v>34895</v>
      </c>
      <c r="H79" s="12" t="n">
        <v>7896</v>
      </c>
      <c r="I79" s="6" t="n"/>
      <c r="J79" s="6">
        <f>IF((B79*0.935 - F79*500) / (1.025*(1+$P$2/100)) &lt;= F79*500/0.15,ROUND(MAX(0, (B79*0.935 - F79*500) / (1.025*(1+$P$2/100))),0),ROUND(MAX(0, B79*0.935 / (1.175*(1+$P$2/100))),0))</f>
        <v/>
      </c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3.5" customHeight="1" s="46">
      <c r="A80" s="15" t="inlineStr">
        <is>
          <t>мантия ученого (магистр)</t>
        </is>
      </c>
      <c r="B80" s="51" t="n">
        <v>118037</v>
      </c>
      <c r="C80" s="16" t="n">
        <v>0</v>
      </c>
      <c r="D80" s="16" t="n">
        <v>10</v>
      </c>
      <c r="E80" s="10" t="inlineStr">
        <is>
          <t>0.75</t>
        </is>
      </c>
      <c r="F80" s="12" t="n">
        <v>11.4</v>
      </c>
      <c r="G80" s="18" t="n">
        <v>98000</v>
      </c>
      <c r="H80" s="12" t="n">
        <v>20037</v>
      </c>
      <c r="I80" s="6" t="n"/>
      <c r="J80" s="6">
        <f>IF((B80*0.935 - F80*500) / (1.025*(1+$P$2/100)) &lt;= F80*500/0.15,ROUND(MAX(0, (B80*0.935 - F80*500) / (1.025*(1+$P$2/100))),0),ROUND(MAX(0, B80*0.935 / (1.175*(1+$P$2/100))),0))</f>
        <v/>
      </c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3.5" customHeight="1" s="46">
      <c r="A81" s="17" t="inlineStr">
        <is>
          <t>мантия ученого (старейшина)</t>
        </is>
      </c>
      <c r="B81" s="51" t="n">
        <v>302205</v>
      </c>
      <c r="C81" s="16" t="n">
        <v>0</v>
      </c>
      <c r="D81" s="16" t="n">
        <v>5</v>
      </c>
      <c r="E81" s="10" t="inlineStr">
        <is>
          <t>0.75</t>
        </is>
      </c>
      <c r="F81" s="12" t="n">
        <v>17.1</v>
      </c>
      <c r="G81" s="18" t="n">
        <v>249980</v>
      </c>
      <c r="H81" s="12" t="n">
        <v>52225</v>
      </c>
      <c r="I81" s="6" t="n"/>
      <c r="J81" s="6">
        <f>IF((B81*0.935 - F81*500) / (1.025*(1+$P$2/100)) &lt;= F81*500/0.15,ROUND(MAX(0, (B81*0.935 - F81*500) / (1.025*(1+$P$2/100))),0),ROUND(MAX(0, B81*0.935 / (1.175*(1+$P$2/100))),0))</f>
        <v/>
      </c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3.5" customHeight="1" s="46">
      <c r="A82" s="7" t="inlineStr">
        <is>
          <t>мантия клирика (знаток)</t>
        </is>
      </c>
      <c r="B82" s="52" t="n">
        <v>4031</v>
      </c>
      <c r="C82" s="9" t="n">
        <v>0</v>
      </c>
      <c r="D82" s="9" t="n">
        <v>100</v>
      </c>
      <c r="E82" s="10" t="inlineStr">
        <is>
          <t>0.55</t>
        </is>
      </c>
      <c r="F82" s="12" t="n">
        <v>3.4</v>
      </c>
      <c r="G82" s="18" t="n">
        <v>2548</v>
      </c>
      <c r="H82" s="12" t="n">
        <v>1483</v>
      </c>
      <c r="I82" s="6" t="n"/>
      <c r="J82" s="6">
        <f>IF((B82*0.935 - F82*500) / (1.025*(1+$P$2/100)) &lt;= F82*500/0.15,ROUND(MAX(0, (B82*0.935 - F82*500) / (1.025*(1+$P$2/100))),0),ROUND(MAX(0, B82*0.935 / (1.175*(1+$P$2/100))),0))</f>
        <v/>
      </c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3.5" customHeight="1" s="46">
      <c r="A83" s="13" t="inlineStr">
        <is>
          <t>мантия клирика (эксперт)</t>
        </is>
      </c>
      <c r="B83" s="52" t="n">
        <v>15285</v>
      </c>
      <c r="C83" s="9" t="n">
        <v>0</v>
      </c>
      <c r="D83" s="9" t="n">
        <v>100</v>
      </c>
      <c r="E83" s="10" t="inlineStr">
        <is>
          <t>0.70</t>
        </is>
      </c>
      <c r="F83" s="12" t="n">
        <v>5.1</v>
      </c>
      <c r="G83" s="18" t="n">
        <v>8997</v>
      </c>
      <c r="H83" s="12" t="n">
        <v>6288</v>
      </c>
      <c r="I83" s="6" t="n"/>
      <c r="J83" s="6">
        <f>IF((B83*0.935 - F83*500) / (1.025*(1+$P$2/100)) &lt;= F83*500/0.15,ROUND(MAX(0, (B83*0.935 - F83*500) / (1.025*(1+$P$2/100))),0),ROUND(MAX(0, B83*0.935 / (1.175*(1+$P$2/100))),0))</f>
        <v/>
      </c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3.5" customHeight="1" s="46">
      <c r="A84" s="14" t="inlineStr">
        <is>
          <t>мантия клирика (мастер)</t>
        </is>
      </c>
      <c r="B84" s="52" t="n">
        <v>38500</v>
      </c>
      <c r="C84" s="9" t="n">
        <v>0</v>
      </c>
      <c r="D84" s="9" t="n">
        <v>70</v>
      </c>
      <c r="E84" s="10" t="inlineStr">
        <is>
          <t>0.80</t>
        </is>
      </c>
      <c r="F84" s="12" t="n">
        <v>7.6</v>
      </c>
      <c r="G84" s="18" t="n">
        <v>34950</v>
      </c>
      <c r="H84" s="12" t="n">
        <v>3550</v>
      </c>
      <c r="I84" s="6" t="n"/>
      <c r="J84" s="6">
        <f>IF((B84*0.935 - F84*500) / (1.025*(1+$P$2/100)) &lt;= F84*500/0.15,ROUND(MAX(0, (B84*0.935 - F84*500) / (1.025*(1+$P$2/100))),0),ROUND(MAX(0, B84*0.935 / (1.175*(1+$P$2/100))),0))</f>
        <v/>
      </c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3.5" customHeight="1" s="46">
      <c r="A85" s="15" t="inlineStr">
        <is>
          <t>мантия клирика (магистр)</t>
        </is>
      </c>
      <c r="B85" s="52" t="n">
        <v>118046</v>
      </c>
      <c r="C85" s="16" t="n">
        <v>0</v>
      </c>
      <c r="D85" s="16" t="n">
        <v>10</v>
      </c>
      <c r="E85" s="10" t="inlineStr">
        <is>
          <t>0.75</t>
        </is>
      </c>
      <c r="F85" s="12" t="n">
        <v>11.4</v>
      </c>
      <c r="G85" s="18" t="n">
        <v>98965</v>
      </c>
      <c r="H85" s="12" t="n">
        <v>19081</v>
      </c>
      <c r="I85" s="6" t="n"/>
      <c r="J85" s="6">
        <f>IF((B85*0.935 - F85*500) / (1.025*(1+$P$2/100)) &lt;= F85*500/0.15,ROUND(MAX(0, (B85*0.935 - F85*500) / (1.025*(1+$P$2/100))),0),ROUND(MAX(0, B85*0.935 / (1.175*(1+$P$2/100))),0))</f>
        <v/>
      </c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3.5" customHeight="1" s="46">
      <c r="A86" s="17" t="inlineStr">
        <is>
          <t>мантия клирика (старейшина)</t>
        </is>
      </c>
      <c r="B86" s="52" t="n">
        <v>306560</v>
      </c>
      <c r="C86" s="16" t="n">
        <v>0</v>
      </c>
      <c r="D86" s="16" t="n">
        <v>5</v>
      </c>
      <c r="E86" s="10" t="inlineStr">
        <is>
          <t>0.75</t>
        </is>
      </c>
      <c r="F86" s="12" t="n">
        <v>17.1</v>
      </c>
      <c r="G86" s="18" t="n">
        <v>269971</v>
      </c>
      <c r="H86" s="12" t="n">
        <v>36589</v>
      </c>
      <c r="I86" s="6" t="n"/>
      <c r="J86" s="6">
        <f>IF((B86*0.935 - F86*500) / (1.025*(1+$P$2/100)) &lt;= F86*500/0.15,ROUND(MAX(0, (B86*0.935 - F86*500) / (1.025*(1+$P$2/100))),0),ROUND(MAX(0, B86*0.935 / (1.175*(1+$P$2/100))),0))</f>
        <v/>
      </c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3.5" customHeight="1" s="46">
      <c r="A87" s="7" t="inlineStr">
        <is>
          <t>мантия чародея (знаток)</t>
        </is>
      </c>
      <c r="B87" s="53" t="n">
        <v>7923</v>
      </c>
      <c r="C87" s="9" t="n">
        <v>0</v>
      </c>
      <c r="D87" s="9" t="n">
        <v>100</v>
      </c>
      <c r="E87" s="10" t="inlineStr">
        <is>
          <t>0.55</t>
        </is>
      </c>
      <c r="F87" s="12" t="n">
        <v>3.4</v>
      </c>
      <c r="G87" s="18" t="n">
        <v>2491</v>
      </c>
      <c r="H87" s="12" t="n">
        <v>5432</v>
      </c>
      <c r="I87" s="6" t="n"/>
      <c r="J87" s="6">
        <f>IF((B87*0.935 - F87*500) / (1.025*(1+$P$2/100)) &lt;= F87*500/0.15,ROUND(MAX(0, (B87*0.935 - F87*500) / (1.025*(1+$P$2/100))),0),ROUND(MAX(0, B87*0.935 / (1.175*(1+$P$2/100))),0))</f>
        <v/>
      </c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3.5" customHeight="1" s="46">
      <c r="A88" s="13" t="inlineStr">
        <is>
          <t>мантия чародея (эксперт)</t>
        </is>
      </c>
      <c r="B88" s="53" t="n">
        <v>16627</v>
      </c>
      <c r="C88" s="9" t="n">
        <v>0</v>
      </c>
      <c r="D88" s="9" t="n">
        <v>100</v>
      </c>
      <c r="E88" s="10" t="inlineStr">
        <is>
          <t>0.70</t>
        </is>
      </c>
      <c r="F88" s="12" t="n">
        <v>5.1</v>
      </c>
      <c r="G88" s="18" t="n">
        <v>9743</v>
      </c>
      <c r="H88" s="12" t="n">
        <v>6884</v>
      </c>
      <c r="I88" s="6" t="n"/>
      <c r="J88" s="6">
        <f>IF((B88*0.935 - F88*500) / (1.025*(1+$P$2/100)) &lt;= F88*500/0.15,ROUND(MAX(0, (B88*0.935 - F88*500) / (1.025*(1+$P$2/100))),0),ROUND(MAX(0, B88*0.935 / (1.175*(1+$P$2/100))),0))</f>
        <v/>
      </c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3.5" customHeight="1" s="46">
      <c r="A89" s="14" t="inlineStr">
        <is>
          <t>мантия чародея (мастер)</t>
        </is>
      </c>
      <c r="B89" s="53" t="n">
        <v>44402</v>
      </c>
      <c r="C89" s="9" t="n">
        <v>0</v>
      </c>
      <c r="D89" s="9" t="n">
        <v>70</v>
      </c>
      <c r="E89" s="10" t="inlineStr">
        <is>
          <t>0.80</t>
        </is>
      </c>
      <c r="F89" s="12" t="n">
        <v>7.6</v>
      </c>
      <c r="G89" s="18" t="n">
        <v>29998</v>
      </c>
      <c r="H89" s="12" t="n">
        <v>14404</v>
      </c>
      <c r="I89" s="6" t="n"/>
      <c r="J89" s="6">
        <f>IF((B89*0.935 - F89*500) / (1.025*(1+$P$2/100)) &lt;= F89*500/0.15,ROUND(MAX(0, (B89*0.935 - F89*500) / (1.025*(1+$P$2/100))),0),ROUND(MAX(0, B89*0.935 / (1.175*(1+$P$2/100))),0))</f>
        <v/>
      </c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3.5" customHeight="1" s="46">
      <c r="A90" s="15" t="inlineStr">
        <is>
          <t>мантия чародея (магистр)</t>
        </is>
      </c>
      <c r="B90" s="53" t="n">
        <v>119896</v>
      </c>
      <c r="C90" s="16" t="n">
        <v>0</v>
      </c>
      <c r="D90" s="16" t="n">
        <v>10</v>
      </c>
      <c r="E90" s="10" t="inlineStr">
        <is>
          <t>0.75</t>
        </is>
      </c>
      <c r="F90" s="12" t="n">
        <v>11.4</v>
      </c>
      <c r="G90" s="18" t="n">
        <v>92539</v>
      </c>
      <c r="H90" s="12" t="n">
        <v>27357</v>
      </c>
      <c r="I90" s="6" t="n"/>
      <c r="J90" s="6">
        <f>IF((B90*0.935 - F90*500) / (1.025*(1+$P$2/100)) &lt;= F90*500/0.15,ROUND(MAX(0, (B90*0.935 - F90*500) / (1.025*(1+$P$2/100))),0),ROUND(MAX(0, B90*0.935 / (1.175*(1+$P$2/100))),0))</f>
        <v/>
      </c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3.5" customHeight="1" s="46">
      <c r="A91" s="17" t="inlineStr">
        <is>
          <t>мантия чародея (старейшина)</t>
        </is>
      </c>
      <c r="B91" s="53" t="n">
        <v>318871</v>
      </c>
      <c r="C91" s="16" t="n">
        <v>0</v>
      </c>
      <c r="D91" s="16" t="n">
        <v>5</v>
      </c>
      <c r="E91" s="10" t="inlineStr">
        <is>
          <t>0.75</t>
        </is>
      </c>
      <c r="F91" s="12" t="n">
        <v>17.1</v>
      </c>
      <c r="G91" s="18" t="n">
        <v>210000</v>
      </c>
      <c r="H91" s="12" t="n">
        <v>108871</v>
      </c>
      <c r="I91" s="6" t="n"/>
      <c r="J91" s="6">
        <f>IF((B91*0.935 - F91*500) / (1.025*(1+$P$2/100)) &lt;= F91*500/0.15,ROUND(MAX(0, (B91*0.935 - F91*500) / (1.025*(1+$P$2/100))),0),ROUND(MAX(0, B91*0.935 / (1.175*(1+$P$2/100))),0))</f>
        <v/>
      </c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3.5" customHeight="1" s="46">
      <c r="A92" s="7" t="inlineStr">
        <is>
          <t>сапоги солдата (знаток)</t>
        </is>
      </c>
      <c r="B92" s="52" t="n">
        <v>2924</v>
      </c>
      <c r="C92" s="9" t="n">
        <v>0</v>
      </c>
      <c r="D92" s="9" t="n">
        <v>100</v>
      </c>
      <c r="E92" s="10" t="inlineStr">
        <is>
          <t>0.55</t>
        </is>
      </c>
      <c r="F92" s="12" t="n">
        <v>1.7</v>
      </c>
      <c r="G92" s="18" t="n">
        <v>2196</v>
      </c>
      <c r="H92" s="12" t="n">
        <v>728</v>
      </c>
      <c r="I92" s="6" t="n"/>
      <c r="J92" s="6">
        <f>IF((B92*0.935 - F92*500) / (1.025*(1+$P$2/100)) &lt;= F92*500/0.15,ROUND(MAX(0, (B92*0.935 - F92*500) / (1.025*(1+$P$2/100))),0),ROUND(MAX(0, B92*0.935 / (1.175*(1+$P$2/100))),0))</f>
        <v/>
      </c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3.5" customHeight="1" s="46">
      <c r="A93" s="13" t="inlineStr">
        <is>
          <t>сапоги солдата (эксперт)</t>
        </is>
      </c>
      <c r="B93" s="52" t="n">
        <v>8294</v>
      </c>
      <c r="C93" s="9" t="n">
        <v>0</v>
      </c>
      <c r="D93" s="9" t="n">
        <v>100</v>
      </c>
      <c r="E93" s="10" t="inlineStr">
        <is>
          <t>0.70</t>
        </is>
      </c>
      <c r="F93" s="12" t="n">
        <v>2.5</v>
      </c>
      <c r="G93" s="18" t="n">
        <v>6878</v>
      </c>
      <c r="H93" s="12" t="n">
        <v>1416</v>
      </c>
      <c r="I93" s="6" t="n"/>
      <c r="J93" s="6">
        <f>IF((B93*0.935 - F93*500) / (1.025*(1+$P$2/100)) &lt;= F93*500/0.15,ROUND(MAX(0, (B93*0.935 - F93*500) / (1.025*(1+$P$2/100))),0),ROUND(MAX(0, B93*0.935 / (1.175*(1+$P$2/100))),0))</f>
        <v/>
      </c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3.5" customHeight="1" s="46">
      <c r="A94" s="14" t="inlineStr">
        <is>
          <t>сапоги солдата (мастер)</t>
        </is>
      </c>
      <c r="B94" s="52" t="n">
        <v>24287</v>
      </c>
      <c r="C94" s="9" t="n">
        <v>0</v>
      </c>
      <c r="D94" s="9" t="n">
        <v>70</v>
      </c>
      <c r="E94" s="10" t="inlineStr">
        <is>
          <t>0.80</t>
        </is>
      </c>
      <c r="F94" s="12" t="n">
        <v>3.8</v>
      </c>
      <c r="G94" s="18" t="n">
        <v>16661</v>
      </c>
      <c r="H94" s="12" t="n">
        <v>7626</v>
      </c>
      <c r="I94" s="6" t="n"/>
      <c r="J94" s="6">
        <f>IF((B94*0.935 - F94*500) / (1.025*(1+$P$2/100)) &lt;= F94*500/0.15,ROUND(MAX(0, (B94*0.935 - F94*500) / (1.025*(1+$P$2/100))),0),ROUND(MAX(0, B94*0.935 / (1.175*(1+$P$2/100))),0))</f>
        <v/>
      </c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3.5" customHeight="1" s="46">
      <c r="A95" s="15" t="inlineStr">
        <is>
          <t>сапоги солдата (магистр)</t>
        </is>
      </c>
      <c r="B95" s="52" t="n">
        <v>44998</v>
      </c>
      <c r="C95" s="16" t="n">
        <v>0</v>
      </c>
      <c r="D95" s="16" t="n">
        <v>10</v>
      </c>
      <c r="E95" s="10" t="inlineStr">
        <is>
          <t>0.75</t>
        </is>
      </c>
      <c r="F95" s="12" t="n">
        <v>5.7</v>
      </c>
      <c r="G95" s="18" t="n">
        <v>39954</v>
      </c>
      <c r="H95" s="12" t="n">
        <v>5044</v>
      </c>
      <c r="I95" s="6" t="n"/>
      <c r="J95" s="6">
        <f>IF((B95*0.935 - F95*500) / (1.025*(1+$P$2/100)) &lt;= F95*500/0.15,ROUND(MAX(0, (B95*0.935 - F95*500) / (1.025*(1+$P$2/100))),0),ROUND(MAX(0, B95*0.935 / (1.175*(1+$P$2/100))),0))</f>
        <v/>
      </c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3.5" customHeight="1" s="46">
      <c r="A96" s="17" t="inlineStr">
        <is>
          <t>сапоги солдата (старейшина)</t>
        </is>
      </c>
      <c r="B96" s="52" t="n">
        <v>171980</v>
      </c>
      <c r="C96" s="16" t="n">
        <v>0</v>
      </c>
      <c r="D96" s="16" t="n">
        <v>5</v>
      </c>
      <c r="E96" s="10" t="inlineStr">
        <is>
          <t>0.75</t>
        </is>
      </c>
      <c r="F96" s="12" t="n">
        <v>8.5</v>
      </c>
      <c r="G96" s="18" t="n">
        <v>143000</v>
      </c>
      <c r="H96" s="12" t="n">
        <v>28980</v>
      </c>
      <c r="I96" s="6" t="n"/>
      <c r="J96" s="6">
        <f>IF((B96*0.935 - F96*500) / (1.025*(1+$P$2/100)) &lt;= F96*500/0.15,ROUND(MAX(0, (B96*0.935 - F96*500) / (1.025*(1+$P$2/100))),0),ROUND(MAX(0, B96*0.935 / (1.175*(1+$P$2/100))),0))</f>
        <v/>
      </c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3.5" customHeight="1" s="46">
      <c r="A97" s="7" t="inlineStr">
        <is>
          <t>сапоги рыцаря (знаток)</t>
        </is>
      </c>
      <c r="B97" s="53" t="n">
        <v>3927</v>
      </c>
      <c r="C97" s="9" t="n">
        <v>0</v>
      </c>
      <c r="D97" s="9" t="n">
        <v>100</v>
      </c>
      <c r="E97" s="10" t="inlineStr">
        <is>
          <t>0.55</t>
        </is>
      </c>
      <c r="F97" s="12" t="n">
        <v>1.7</v>
      </c>
      <c r="G97" s="18" t="n">
        <v>1727</v>
      </c>
      <c r="H97" s="12" t="n">
        <v>2200</v>
      </c>
      <c r="I97" s="6" t="n"/>
      <c r="J97" s="6">
        <f>IF((B97*0.935 - F97*500) / (1.025*(1+$P$2/100)) &lt;= F97*500/0.15,ROUND(MAX(0, (B97*0.935 - F97*500) / (1.025*(1+$P$2/100))),0),ROUND(MAX(0, B97*0.935 / (1.175*(1+$P$2/100))),0))</f>
        <v/>
      </c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3.5" customHeight="1" s="46">
      <c r="A98" s="13" t="inlineStr">
        <is>
          <t>сапоги рыцаря (эксперт)</t>
        </is>
      </c>
      <c r="B98" s="53" t="n">
        <v>7907</v>
      </c>
      <c r="C98" s="9" t="n">
        <v>0</v>
      </c>
      <c r="D98" s="9" t="n">
        <v>100</v>
      </c>
      <c r="E98" s="10" t="inlineStr">
        <is>
          <t>0.70</t>
        </is>
      </c>
      <c r="F98" s="12" t="n">
        <v>2.5</v>
      </c>
      <c r="G98" s="18" t="n">
        <v>4900</v>
      </c>
      <c r="H98" s="12" t="n">
        <v>3007</v>
      </c>
      <c r="I98" s="6" t="n"/>
      <c r="J98" s="6">
        <f>IF((B98*0.935 - F98*500) / (1.025*(1+$P$2/100)) &lt;= F98*500/0.15,ROUND(MAX(0, (B98*0.935 - F98*500) / (1.025*(1+$P$2/100))),0),ROUND(MAX(0, B98*0.935 / (1.175*(1+$P$2/100))),0))</f>
        <v/>
      </c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3.5" customHeight="1" s="46">
      <c r="A99" s="14" t="inlineStr">
        <is>
          <t>сапоги рыцаря (мастер)</t>
        </is>
      </c>
      <c r="B99" s="53" t="n">
        <v>23378</v>
      </c>
      <c r="C99" s="9" t="n">
        <v>0</v>
      </c>
      <c r="D99" s="9" t="n">
        <v>70</v>
      </c>
      <c r="E99" s="10" t="inlineStr">
        <is>
          <t>0.80</t>
        </is>
      </c>
      <c r="F99" s="12" t="n">
        <v>3.8</v>
      </c>
      <c r="G99" s="18" t="n">
        <v>13985</v>
      </c>
      <c r="H99" s="12" t="n">
        <v>9393</v>
      </c>
      <c r="I99" s="6" t="n"/>
      <c r="J99" s="6">
        <f>IF((B99*0.935 - F99*500) / (1.025*(1+$P$2/100)) &lt;= F99*500/0.15,ROUND(MAX(0, (B99*0.935 - F99*500) / (1.025*(1+$P$2/100))),0),ROUND(MAX(0, B99*0.935 / (1.175*(1+$P$2/100))),0))</f>
        <v/>
      </c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3.5" customHeight="1" s="46">
      <c r="A100" s="15" t="inlineStr">
        <is>
          <t>сапоги рыцаря (магистр)</t>
        </is>
      </c>
      <c r="B100" s="53" t="n">
        <v>47899</v>
      </c>
      <c r="C100" s="16" t="n">
        <v>0</v>
      </c>
      <c r="D100" s="16" t="n">
        <v>10</v>
      </c>
      <c r="E100" s="10" t="inlineStr">
        <is>
          <t>0.75</t>
        </is>
      </c>
      <c r="F100" s="12" t="n">
        <v>5.7</v>
      </c>
      <c r="G100" s="18" t="n">
        <v>35000</v>
      </c>
      <c r="H100" s="12" t="n">
        <v>12899</v>
      </c>
      <c r="I100" s="6" t="n"/>
      <c r="J100" s="6">
        <f>IF((B100*0.935 - F100*500) / (1.025*(1+$P$2/100)) &lt;= F100*500/0.15,ROUND(MAX(0, (B100*0.935 - F100*500) / (1.025*(1+$P$2/100))),0),ROUND(MAX(0, B100*0.935 / (1.175*(1+$P$2/100))),0))</f>
        <v/>
      </c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3.5" customHeight="1" s="46">
      <c r="A101" s="17" t="inlineStr">
        <is>
          <t>сапоги рыцаря (старейшина)</t>
        </is>
      </c>
      <c r="B101" s="53" t="n">
        <v>142970</v>
      </c>
      <c r="C101" s="16" t="n">
        <v>0</v>
      </c>
      <c r="D101" s="16" t="n">
        <v>5</v>
      </c>
      <c r="E101" s="10" t="inlineStr">
        <is>
          <t>0.75</t>
        </is>
      </c>
      <c r="F101" s="12" t="n">
        <v>8.5</v>
      </c>
      <c r="G101" s="18" t="n">
        <v>109000</v>
      </c>
      <c r="H101" s="12" t="n">
        <v>33970</v>
      </c>
      <c r="I101" s="6" t="n"/>
      <c r="J101" s="6">
        <f>IF((B101*0.935 - F101*500) / (1.025*(1+$P$2/100)) &lt;= F101*500/0.15,ROUND(MAX(0, (B101*0.935 - F101*500) / (1.025*(1+$P$2/100))),0),ROUND(MAX(0, B101*0.935 / (1.175*(1+$P$2/100))),0))</f>
        <v/>
      </c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3.5" customHeight="1" s="46">
      <c r="A102" s="7" t="inlineStr">
        <is>
          <t>сапоги хранителя (знаток)</t>
        </is>
      </c>
      <c r="B102" s="49" t="n">
        <v>3242</v>
      </c>
      <c r="C102" s="9" t="n">
        <v>0</v>
      </c>
      <c r="D102" s="9" t="n">
        <v>100</v>
      </c>
      <c r="E102" s="10" t="inlineStr">
        <is>
          <t>0.55</t>
        </is>
      </c>
      <c r="F102" s="12" t="n">
        <v>1.7</v>
      </c>
      <c r="G102" s="18" t="n">
        <v>1091</v>
      </c>
      <c r="H102" s="12" t="n">
        <v>2151</v>
      </c>
      <c r="I102" s="6" t="n"/>
      <c r="J102" s="6">
        <f>IF((B102*0.935 - F102*500) / (1.025*(1+$P$2/100)) &lt;= F102*500/0.15,ROUND(MAX(0, (B102*0.935 - F102*500) / (1.025*(1+$P$2/100))),0),ROUND(MAX(0, B102*0.935 / (1.175*(1+$P$2/100))),0))</f>
        <v/>
      </c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3.5" customHeight="1" s="46">
      <c r="A103" s="13" t="inlineStr">
        <is>
          <t>сапоги хранителя (эксперт)</t>
        </is>
      </c>
      <c r="B103" s="49" t="n">
        <v>7493</v>
      </c>
      <c r="C103" s="9" t="n">
        <v>0</v>
      </c>
      <c r="D103" s="9" t="n">
        <v>100</v>
      </c>
      <c r="E103" s="10" t="inlineStr">
        <is>
          <t>0.70</t>
        </is>
      </c>
      <c r="F103" s="12" t="n">
        <v>2.5</v>
      </c>
      <c r="G103" s="18" t="n">
        <v>4098</v>
      </c>
      <c r="H103" s="12" t="n">
        <v>3395</v>
      </c>
      <c r="I103" s="6" t="n"/>
      <c r="J103" s="6">
        <f>IF((B103*0.935 - F103*500) / (1.025*(1+$P$2/100)) &lt;= F103*500/0.15,ROUND(MAX(0, (B103*0.935 - F103*500) / (1.025*(1+$P$2/100))),0),ROUND(MAX(0, B103*0.935 / (1.175*(1+$P$2/100))),0))</f>
        <v/>
      </c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3.5" customHeight="1" s="46">
      <c r="A104" s="14" t="inlineStr">
        <is>
          <t>сапоги хранителя (мастер)</t>
        </is>
      </c>
      <c r="B104" s="49" t="n">
        <v>21394</v>
      </c>
      <c r="C104" s="9" t="n">
        <v>0</v>
      </c>
      <c r="D104" s="9" t="n">
        <v>70</v>
      </c>
      <c r="E104" s="10" t="inlineStr">
        <is>
          <t>0.80</t>
        </is>
      </c>
      <c r="F104" s="12" t="n">
        <v>3.8</v>
      </c>
      <c r="G104" s="18" t="n">
        <v>14481</v>
      </c>
      <c r="H104" s="12" t="n">
        <v>6913</v>
      </c>
      <c r="I104" s="6" t="n"/>
      <c r="J104" s="6">
        <f>IF((B104*0.935 - F104*500) / (1.025*(1+$P$2/100)) &lt;= F104*500/0.15,ROUND(MAX(0, (B104*0.935 - F104*500) / (1.025*(1+$P$2/100))),0),ROUND(MAX(0, B104*0.935 / (1.175*(1+$P$2/100))),0))</f>
        <v/>
      </c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3.5" customHeight="1" s="46">
      <c r="A105" s="15" t="inlineStr">
        <is>
          <t>сапоги хранителя (магистр)</t>
        </is>
      </c>
      <c r="B105" s="49" t="n">
        <v>50955</v>
      </c>
      <c r="C105" s="16" t="n">
        <v>0</v>
      </c>
      <c r="D105" s="16" t="n">
        <v>10</v>
      </c>
      <c r="E105" s="10" t="inlineStr">
        <is>
          <t>0.75</t>
        </is>
      </c>
      <c r="F105" s="12" t="n">
        <v>5.7</v>
      </c>
      <c r="G105" s="18" t="n">
        <v>34992</v>
      </c>
      <c r="H105" s="12" t="n">
        <v>15963</v>
      </c>
      <c r="I105" s="6" t="n"/>
      <c r="J105" s="6">
        <f>IF((B105*0.935 - F105*500) / (1.025*(1+$P$2/100)) &lt;= F105*500/0.15,ROUND(MAX(0, (B105*0.935 - F105*500) / (1.025*(1+$P$2/100))),0),ROUND(MAX(0, B105*0.935 / (1.175*(1+$P$2/100))),0))</f>
        <v/>
      </c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3.5" customHeight="1" s="46">
      <c r="A106" s="17" t="inlineStr">
        <is>
          <t>сапоги хранителя (старейшина)</t>
        </is>
      </c>
      <c r="B106" s="49" t="n">
        <v>138991</v>
      </c>
      <c r="C106" s="16" t="n">
        <v>0</v>
      </c>
      <c r="D106" s="16" t="n">
        <v>5</v>
      </c>
      <c r="E106" s="10" t="inlineStr">
        <is>
          <t>0.75</t>
        </is>
      </c>
      <c r="F106" s="12" t="n">
        <v>8.5</v>
      </c>
      <c r="G106" s="18" t="n">
        <v>107647</v>
      </c>
      <c r="H106" s="12" t="n">
        <v>31344</v>
      </c>
      <c r="I106" s="6" t="n"/>
      <c r="J106" s="6">
        <f>IF((B106*0.935 - F106*500) / (1.025*(1+$P$2/100)) &lt;= F106*500/0.15,ROUND(MAX(0, (B106*0.935 - F106*500) / (1.025*(1+$P$2/100))),0),ROUND(MAX(0, B106*0.935 / (1.175*(1+$P$2/100))),0))</f>
        <v/>
      </c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3.5" customHeight="1" s="46">
      <c r="A107" s="7" t="inlineStr">
        <is>
          <t>ботинки наемника (знаток)</t>
        </is>
      </c>
      <c r="B107" s="47" t="n">
        <v>4108</v>
      </c>
      <c r="C107" s="9" t="n">
        <v>0</v>
      </c>
      <c r="D107" s="9" t="n">
        <v>100</v>
      </c>
      <c r="E107" s="10" t="inlineStr">
        <is>
          <t>0.55</t>
        </is>
      </c>
      <c r="F107" s="12" t="n">
        <v>1.7</v>
      </c>
      <c r="G107" s="18" t="n">
        <v>2187</v>
      </c>
      <c r="H107" s="12" t="n">
        <v>1921</v>
      </c>
      <c r="I107" s="6" t="n"/>
      <c r="J107" s="6">
        <f>IF((B107*0.935 - F107*500) / (1.025*(1+$P$2/100)) &lt;= F107*500/0.15,ROUND(MAX(0, (B107*0.935 - F107*500) / (1.025*(1+$P$2/100))),0),ROUND(MAX(0, B107*0.935 / (1.175*(1+$P$2/100))),0))</f>
        <v/>
      </c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3.5" customHeight="1" s="46">
      <c r="A108" s="13" t="inlineStr">
        <is>
          <t>ботинки наемника (эксперт)</t>
        </is>
      </c>
      <c r="B108" s="47" t="n">
        <v>9828</v>
      </c>
      <c r="C108" s="9" t="n">
        <v>0</v>
      </c>
      <c r="D108" s="9" t="n">
        <v>100</v>
      </c>
      <c r="E108" s="10" t="inlineStr">
        <is>
          <t>0.70</t>
        </is>
      </c>
      <c r="F108" s="12" t="n">
        <v>2.5</v>
      </c>
      <c r="G108" s="18" t="n">
        <v>4999</v>
      </c>
      <c r="H108" s="12" t="n">
        <v>4829</v>
      </c>
      <c r="I108" s="6" t="n"/>
      <c r="J108" s="6">
        <f>IF((B108*0.935 - F108*500) / (1.025*(1+$P$2/100)) &lt;= F108*500/0.15,ROUND(MAX(0, (B108*0.935 - F108*500) / (1.025*(1+$P$2/100))),0),ROUND(MAX(0, B108*0.935 / (1.175*(1+$P$2/100))),0))</f>
        <v/>
      </c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3.5" customHeight="1" s="46">
      <c r="A109" s="14" t="inlineStr">
        <is>
          <t>ботинки наемника (мастер)</t>
        </is>
      </c>
      <c r="B109" s="47" t="n">
        <v>31185</v>
      </c>
      <c r="C109" s="9" t="n">
        <v>0</v>
      </c>
      <c r="D109" s="9" t="n">
        <v>70</v>
      </c>
      <c r="E109" s="10" t="inlineStr">
        <is>
          <t>0.80</t>
        </is>
      </c>
      <c r="F109" s="12" t="n">
        <v>3.8</v>
      </c>
      <c r="G109" s="18" t="n">
        <v>24939</v>
      </c>
      <c r="H109" s="12" t="n">
        <v>6246</v>
      </c>
      <c r="I109" s="6" t="n"/>
      <c r="J109" s="6">
        <f>IF((B109*0.935 - F109*500) / (1.025*(1+$P$2/100)) &lt;= F109*500/0.15,ROUND(MAX(0, (B109*0.935 - F109*500) / (1.025*(1+$P$2/100))),0),ROUND(MAX(0, B109*0.935 / (1.175*(1+$P$2/100))),0))</f>
        <v/>
      </c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3.5" customHeight="1" s="46">
      <c r="A110" s="15" t="inlineStr">
        <is>
          <t>ботинки наемника (магистр)</t>
        </is>
      </c>
      <c r="B110" s="47" t="n">
        <v>73956</v>
      </c>
      <c r="C110" s="16" t="n">
        <v>0</v>
      </c>
      <c r="D110" s="16" t="n">
        <v>10</v>
      </c>
      <c r="E110" s="10" t="inlineStr">
        <is>
          <t>0.75</t>
        </is>
      </c>
      <c r="F110" s="12" t="n">
        <v>5.7</v>
      </c>
      <c r="G110" s="18" t="n">
        <v>58979</v>
      </c>
      <c r="H110" s="12" t="n">
        <v>14977</v>
      </c>
      <c r="I110" s="6" t="n"/>
      <c r="J110" s="6">
        <f>IF((B110*0.935 - F110*500) / (1.025*(1+$P$2/100)) &lt;= F110*500/0.15,ROUND(MAX(0, (B110*0.935 - F110*500) / (1.025*(1+$P$2/100))),0),ROUND(MAX(0, B110*0.935 / (1.175*(1+$P$2/100))),0))</f>
        <v/>
      </c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3.5" customHeight="1" s="46">
      <c r="A111" s="17" t="inlineStr">
        <is>
          <t>ботинки наемника (старейшина)</t>
        </is>
      </c>
      <c r="B111" s="47" t="n">
        <v>222866</v>
      </c>
      <c r="C111" s="16" t="n">
        <v>0</v>
      </c>
      <c r="D111" s="16" t="n">
        <v>5</v>
      </c>
      <c r="E111" s="10" t="inlineStr">
        <is>
          <t>0.75</t>
        </is>
      </c>
      <c r="F111" s="12" t="n">
        <v>8.5</v>
      </c>
      <c r="G111" s="18" t="n">
        <v>174989</v>
      </c>
      <c r="H111" s="12" t="n">
        <v>47877</v>
      </c>
      <c r="I111" s="6" t="n"/>
      <c r="J111" s="6">
        <f>IF((B111*0.935 - F111*500) / (1.025*(1+$P$2/100)) &lt;= F111*500/0.15,ROUND(MAX(0, (B111*0.935 - F111*500) / (1.025*(1+$P$2/100))),0),ROUND(MAX(0, B111*0.935 / (1.175*(1+$P$2/100))),0))</f>
        <v/>
      </c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3.5" customHeight="1" s="46">
      <c r="A112" s="7" t="inlineStr">
        <is>
          <t>ботинки охотника (знаток)</t>
        </is>
      </c>
      <c r="B112" s="51" t="n">
        <v>2965</v>
      </c>
      <c r="C112" s="9" t="n">
        <v>0</v>
      </c>
      <c r="D112" s="9" t="n">
        <v>100</v>
      </c>
      <c r="E112" s="10" t="inlineStr">
        <is>
          <t>0.55</t>
        </is>
      </c>
      <c r="F112" s="12" t="n">
        <v>1.7</v>
      </c>
      <c r="G112" s="18" t="n">
        <v>1898</v>
      </c>
      <c r="H112" s="12" t="n">
        <v>1067</v>
      </c>
      <c r="I112" s="6" t="n"/>
      <c r="J112" s="6">
        <f>IF((B112*0.935 - F112*500) / (1.025*(1+$P$2/100)) &lt;= F112*500/0.15,ROUND(MAX(0, (B112*0.935 - F112*500) / (1.025*(1+$P$2/100))),0),ROUND(MAX(0, B112*0.935 / (1.175*(1+$P$2/100))),0))</f>
        <v/>
      </c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3.5" customHeight="1" s="46">
      <c r="A113" s="13" t="inlineStr">
        <is>
          <t>ботинки охотника (эксперт)</t>
        </is>
      </c>
      <c r="B113" s="51" t="n">
        <v>14765</v>
      </c>
      <c r="C113" s="9" t="n">
        <v>0</v>
      </c>
      <c r="D113" s="9" t="n">
        <v>100</v>
      </c>
      <c r="E113" s="10" t="inlineStr">
        <is>
          <t>0.70</t>
        </is>
      </c>
      <c r="F113" s="12" t="n">
        <v>2.5</v>
      </c>
      <c r="G113" s="18" t="n">
        <v>8599</v>
      </c>
      <c r="H113" s="12" t="n">
        <v>6166</v>
      </c>
      <c r="I113" s="6" t="n"/>
      <c r="J113" s="6">
        <f>IF((B113*0.935 - F113*500) / (1.025*(1+$P$2/100)) &lt;= F113*500/0.15,ROUND(MAX(0, (B113*0.935 - F113*500) / (1.025*(1+$P$2/100))),0),ROUND(MAX(0, B113*0.935 / (1.175*(1+$P$2/100))),0))</f>
        <v/>
      </c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3.5" customHeight="1" s="46">
      <c r="A114" s="14" t="inlineStr">
        <is>
          <t>ботинки охотника (мастер)</t>
        </is>
      </c>
      <c r="B114" s="51" t="n">
        <v>32513</v>
      </c>
      <c r="C114" s="9" t="n">
        <v>0</v>
      </c>
      <c r="D114" s="9" t="n">
        <v>70</v>
      </c>
      <c r="E114" s="10" t="inlineStr">
        <is>
          <t>0.80</t>
        </is>
      </c>
      <c r="F114" s="12" t="n">
        <v>3.8</v>
      </c>
      <c r="G114" s="18" t="n">
        <v>25000</v>
      </c>
      <c r="H114" s="12" t="n">
        <v>7513</v>
      </c>
      <c r="I114" s="6" t="n"/>
      <c r="J114" s="6">
        <f>IF((B114*0.935 - F114*500) / (1.025*(1+$P$2/100)) &lt;= F114*500/0.15,ROUND(MAX(0, (B114*0.935 - F114*500) / (1.025*(1+$P$2/100))),0),ROUND(MAX(0, B114*0.935 / (1.175*(1+$P$2/100))),0))</f>
        <v/>
      </c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3.5" customHeight="1" s="46">
      <c r="A115" s="15" t="inlineStr">
        <is>
          <t>ботинки охотника (магистр)</t>
        </is>
      </c>
      <c r="B115" s="51" t="n">
        <v>75908</v>
      </c>
      <c r="C115" s="16" t="n">
        <v>0</v>
      </c>
      <c r="D115" s="16" t="n">
        <v>10</v>
      </c>
      <c r="E115" s="10" t="inlineStr">
        <is>
          <t>0.75</t>
        </is>
      </c>
      <c r="F115" s="12" t="n">
        <v>5.7</v>
      </c>
      <c r="G115" s="18" t="n">
        <v>60978</v>
      </c>
      <c r="H115" s="12" t="n">
        <v>14930</v>
      </c>
      <c r="I115" s="6" t="n"/>
      <c r="J115" s="6">
        <f>IF((B115*0.935 - F115*500) / (1.025*(1+$P$2/100)) &lt;= F115*500/0.15,ROUND(MAX(0, (B115*0.935 - F115*500) / (1.025*(1+$P$2/100))),0),ROUND(MAX(0, B115*0.935 / (1.175*(1+$P$2/100))),0))</f>
        <v/>
      </c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3.5" customHeight="1" s="46">
      <c r="A116" s="17" t="inlineStr">
        <is>
          <t>ботинки охотника (старейшина)</t>
        </is>
      </c>
      <c r="B116" s="51" t="n">
        <v>202048</v>
      </c>
      <c r="C116" s="16" t="n">
        <v>0</v>
      </c>
      <c r="D116" s="16" t="n">
        <v>5</v>
      </c>
      <c r="E116" s="10" t="inlineStr">
        <is>
          <t>0.75</t>
        </is>
      </c>
      <c r="F116" s="12" t="n">
        <v>8.5</v>
      </c>
      <c r="G116" s="18" t="n">
        <v>164978</v>
      </c>
      <c r="H116" s="12" t="n">
        <v>37070</v>
      </c>
      <c r="I116" s="6" t="n"/>
      <c r="J116" s="6">
        <f>IF((B116*0.935 - F116*500) / (1.025*(1+$P$2/100)) &lt;= F116*500/0.15,ROUND(MAX(0, (B116*0.935 - F116*500) / (1.025*(1+$P$2/100))),0),ROUND(MAX(0, B116*0.935 / (1.175*(1+$P$2/100))),0))</f>
        <v/>
      </c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3.5" customHeight="1" s="46">
      <c r="A117" s="7" t="inlineStr">
        <is>
          <t>ботинки убийцы (знаток)</t>
        </is>
      </c>
      <c r="B117" s="52" t="n">
        <v>3598</v>
      </c>
      <c r="C117" s="9" t="n">
        <v>0</v>
      </c>
      <c r="D117" s="9" t="n">
        <v>100</v>
      </c>
      <c r="E117" s="10" t="inlineStr">
        <is>
          <t>0.55</t>
        </is>
      </c>
      <c r="F117" s="12" t="n">
        <v>1.7</v>
      </c>
      <c r="G117" s="18" t="n">
        <v>2297</v>
      </c>
      <c r="H117" s="12" t="n">
        <v>1301</v>
      </c>
      <c r="I117" s="6" t="n"/>
      <c r="J117" s="6">
        <f>IF((B117*0.935 - F117*500) / (1.025*(1+$P$2/100)) &lt;= F117*500/0.15,ROUND(MAX(0, (B117*0.935 - F117*500) / (1.025*(1+$P$2/100))),0),ROUND(MAX(0, B117*0.935 / (1.175*(1+$P$2/100))),0))</f>
        <v/>
      </c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3.5" customHeight="1" s="46">
      <c r="A118" s="13" t="inlineStr">
        <is>
          <t>ботинки убийцы (эксперт)</t>
        </is>
      </c>
      <c r="B118" s="52" t="n">
        <v>10198</v>
      </c>
      <c r="C118" s="9" t="n">
        <v>0</v>
      </c>
      <c r="D118" s="9" t="n">
        <v>100</v>
      </c>
      <c r="E118" s="10" t="inlineStr">
        <is>
          <t>0.70</t>
        </is>
      </c>
      <c r="F118" s="12" t="n">
        <v>2.5</v>
      </c>
      <c r="G118" s="18" t="n">
        <v>5280</v>
      </c>
      <c r="H118" s="12" t="n">
        <v>4918</v>
      </c>
      <c r="I118" s="6" t="n"/>
      <c r="J118" s="6">
        <f>IF((B118*0.935 - F118*500) / (1.025*(1+$P$2/100)) &lt;= F118*500/0.15,ROUND(MAX(0, (B118*0.935 - F118*500) / (1.025*(1+$P$2/100))),0),ROUND(MAX(0, B118*0.935 / (1.175*(1+$P$2/100))),0))</f>
        <v/>
      </c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3.5" customHeight="1" s="46">
      <c r="A119" s="14" t="inlineStr">
        <is>
          <t>ботинки убийцы (мастер)</t>
        </is>
      </c>
      <c r="B119" s="52" t="n">
        <v>31331</v>
      </c>
      <c r="C119" s="9" t="n">
        <v>0</v>
      </c>
      <c r="D119" s="9" t="n">
        <v>70</v>
      </c>
      <c r="E119" s="10" t="inlineStr">
        <is>
          <t>0.80</t>
        </is>
      </c>
      <c r="F119" s="12" t="n">
        <v>3.8</v>
      </c>
      <c r="G119" s="18" t="n">
        <v>24999</v>
      </c>
      <c r="H119" s="12" t="n">
        <v>6332</v>
      </c>
      <c r="I119" s="6" t="n"/>
      <c r="J119" s="6">
        <f>IF((B119*0.935 - F119*500) / (1.025*(1+$P$2/100)) &lt;= F119*500/0.15,ROUND(MAX(0, (B119*0.935 - F119*500) / (1.025*(1+$P$2/100))),0),ROUND(MAX(0, B119*0.935 / (1.175*(1+$P$2/100))),0))</f>
        <v/>
      </c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3.5" customHeight="1" s="46">
      <c r="A120" s="15" t="inlineStr">
        <is>
          <t>ботинки убийцы (магистр)</t>
        </is>
      </c>
      <c r="B120" s="52" t="n">
        <v>79950</v>
      </c>
      <c r="C120" s="16" t="n">
        <v>0</v>
      </c>
      <c r="D120" s="16" t="n">
        <v>10</v>
      </c>
      <c r="E120" s="10" t="inlineStr">
        <is>
          <t>0.75</t>
        </is>
      </c>
      <c r="F120" s="12" t="n">
        <v>5.7</v>
      </c>
      <c r="G120" s="18" t="n">
        <v>56000</v>
      </c>
      <c r="H120" s="12" t="n">
        <v>23950</v>
      </c>
      <c r="I120" s="6" t="n"/>
      <c r="J120" s="6">
        <f>IF((B120*0.935 - F120*500) / (1.025*(1+$P$2/100)) &lt;= F120*500/0.15,ROUND(MAX(0, (B120*0.935 - F120*500) / (1.025*(1+$P$2/100))),0),ROUND(MAX(0, B120*0.935 / (1.175*(1+$P$2/100))),0))</f>
        <v/>
      </c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3.5" customHeight="1" s="46">
      <c r="A121" s="17" t="inlineStr">
        <is>
          <t>ботинки убийцы (старейшина)</t>
        </is>
      </c>
      <c r="B121" s="52" t="n">
        <v>175975</v>
      </c>
      <c r="C121" s="16" t="n">
        <v>0</v>
      </c>
      <c r="D121" s="16" t="n">
        <v>5</v>
      </c>
      <c r="E121" s="10" t="inlineStr">
        <is>
          <t>0.75</t>
        </is>
      </c>
      <c r="F121" s="12" t="n">
        <v>8.5</v>
      </c>
      <c r="G121" s="18" t="n">
        <v>129999</v>
      </c>
      <c r="H121" s="12" t="n">
        <v>45976</v>
      </c>
      <c r="I121" s="6" t="n"/>
      <c r="J121" s="6">
        <f>IF((B121*0.935 - F121*500) / (1.025*(1+$P$2/100)) &lt;= F121*500/0.15,ROUND(MAX(0, (B121*0.935 - F121*500) / (1.025*(1+$P$2/100))),0),ROUND(MAX(0, B121*0.935 / (1.175*(1+$P$2/100))),0))</f>
        <v/>
      </c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3.5" customHeight="1" s="46">
      <c r="A122" s="7" t="inlineStr">
        <is>
          <t>сандалии ученого (знаток)</t>
        </is>
      </c>
      <c r="B122" s="53" t="n">
        <v>1991</v>
      </c>
      <c r="C122" s="9" t="n">
        <v>0</v>
      </c>
      <c r="D122" s="9" t="n">
        <v>100</v>
      </c>
      <c r="E122" s="10" t="inlineStr">
        <is>
          <t>0.55</t>
        </is>
      </c>
      <c r="F122" s="12" t="n">
        <v>1.7</v>
      </c>
      <c r="G122" s="18" t="n">
        <v>1079</v>
      </c>
      <c r="H122" s="12" t="n">
        <v>912</v>
      </c>
      <c r="I122" s="6" t="n"/>
      <c r="J122" s="6">
        <f>IF((B122*0.935 - F122*500) / (1.025*(1+$P$2/100)) &lt;= F122*500/0.15,ROUND(MAX(0, (B122*0.935 - F122*500) / (1.025*(1+$P$2/100))),0),ROUND(MAX(0, B122*0.935 / (1.175*(1+$P$2/100))),0))</f>
        <v/>
      </c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3.5" customHeight="1" s="46">
      <c r="A123" s="13" t="inlineStr">
        <is>
          <t>сандалии ученого (эксперт)</t>
        </is>
      </c>
      <c r="B123" s="53" t="n">
        <v>5086</v>
      </c>
      <c r="C123" s="9" t="n">
        <v>0</v>
      </c>
      <c r="D123" s="9" t="n">
        <v>100</v>
      </c>
      <c r="E123" s="10" t="inlineStr">
        <is>
          <t>0.70</t>
        </is>
      </c>
      <c r="F123" s="12" t="n">
        <v>2.5</v>
      </c>
      <c r="G123" s="18" t="n">
        <v>2495</v>
      </c>
      <c r="H123" s="12" t="n">
        <v>2591</v>
      </c>
      <c r="I123" s="6" t="n"/>
      <c r="J123" s="6">
        <f>IF((B123*0.935 - F123*500) / (1.025*(1+$P$2/100)) &lt;= F123*500/0.15,ROUND(MAX(0, (B123*0.935 - F123*500) / (1.025*(1+$P$2/100))),0),ROUND(MAX(0, B123*0.935 / (1.175*(1+$P$2/100))),0))</f>
        <v/>
      </c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3.5" customHeight="1" s="46">
      <c r="A124" s="14" t="inlineStr">
        <is>
          <t>сандалии ученого (мастер)</t>
        </is>
      </c>
      <c r="B124" s="53" t="n">
        <v>17927</v>
      </c>
      <c r="C124" s="9" t="n">
        <v>0</v>
      </c>
      <c r="D124" s="9" t="n">
        <v>70</v>
      </c>
      <c r="E124" s="10" t="inlineStr">
        <is>
          <t>0.80</t>
        </is>
      </c>
      <c r="F124" s="12" t="n">
        <v>3.8</v>
      </c>
      <c r="G124" s="18" t="n">
        <v>13900</v>
      </c>
      <c r="H124" s="12" t="n">
        <v>4027</v>
      </c>
      <c r="I124" s="6" t="n"/>
      <c r="J124" s="6">
        <f>IF((B124*0.935 - F124*500) / (1.025*(1+$P$2/100)) &lt;= F124*500/0.15,ROUND(MAX(0, (B124*0.935 - F124*500) / (1.025*(1+$P$2/100))),0),ROUND(MAX(0, B124*0.935 / (1.175*(1+$P$2/100))),0))</f>
        <v/>
      </c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3.5" customHeight="1" s="46">
      <c r="A125" s="15" t="inlineStr">
        <is>
          <t>сандалии ученого (магистр)</t>
        </is>
      </c>
      <c r="B125" s="53" t="n">
        <v>46960</v>
      </c>
      <c r="C125" s="16" t="n">
        <v>0</v>
      </c>
      <c r="D125" s="16" t="n">
        <v>10</v>
      </c>
      <c r="E125" s="10" t="inlineStr">
        <is>
          <t>0.75</t>
        </is>
      </c>
      <c r="F125" s="12" t="n">
        <v>5.7</v>
      </c>
      <c r="G125" s="18" t="n">
        <v>33999</v>
      </c>
      <c r="H125" s="12" t="n">
        <v>12961</v>
      </c>
      <c r="I125" s="6" t="n"/>
      <c r="J125" s="6">
        <f>IF((B125*0.935 - F125*500) / (1.025*(1+$P$2/100)) &lt;= F125*500/0.15,ROUND(MAX(0, (B125*0.935 - F125*500) / (1.025*(1+$P$2/100))),0),ROUND(MAX(0, B125*0.935 / (1.175*(1+$P$2/100))),0))</f>
        <v/>
      </c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3.5" customHeight="1" s="46">
      <c r="A126" s="17" t="inlineStr">
        <is>
          <t>сандалии ученого (старейшина)</t>
        </is>
      </c>
      <c r="B126" s="53" t="n">
        <v>128884</v>
      </c>
      <c r="C126" s="16" t="n">
        <v>0</v>
      </c>
      <c r="D126" s="16" t="n">
        <v>5</v>
      </c>
      <c r="E126" s="10" t="inlineStr">
        <is>
          <t>0.75</t>
        </is>
      </c>
      <c r="F126" s="12" t="n">
        <v>8.5</v>
      </c>
      <c r="G126" s="18" t="n">
        <v>95554</v>
      </c>
      <c r="H126" s="12" t="n">
        <v>33330</v>
      </c>
      <c r="I126" s="6" t="n"/>
      <c r="J126" s="6">
        <f>IF((B126*0.935 - F126*500) / (1.025*(1+$P$2/100)) &lt;= F126*500/0.15,ROUND(MAX(0, (B126*0.935 - F126*500) / (1.025*(1+$P$2/100))),0),ROUND(MAX(0, B126*0.935 / (1.175*(1+$P$2/100))),0))</f>
        <v/>
      </c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3.5" customHeight="1" s="46">
      <c r="A127" s="7" t="inlineStr">
        <is>
          <t>сандалии клирика (знаток)</t>
        </is>
      </c>
      <c r="B127" s="49" t="n">
        <v>2000</v>
      </c>
      <c r="C127" s="9" t="n">
        <v>0</v>
      </c>
      <c r="D127" s="9" t="n">
        <v>100</v>
      </c>
      <c r="E127" s="10" t="inlineStr">
        <is>
          <t>0.55</t>
        </is>
      </c>
      <c r="F127" s="12" t="n">
        <v>1.7</v>
      </c>
      <c r="G127" s="18" t="n">
        <v>1201</v>
      </c>
      <c r="H127" s="12" t="n">
        <v>799</v>
      </c>
      <c r="I127" s="6" t="n"/>
      <c r="J127" s="6">
        <f>IF((B127*0.935 - F127*500) / (1.025*(1+$P$2/100)) &lt;= F127*500/0.15,ROUND(MAX(0, (B127*0.935 - F127*500) / (1.025*(1+$P$2/100))),0),ROUND(MAX(0, B127*0.935 / (1.175*(1+$P$2/100))),0))</f>
        <v/>
      </c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3.5" customHeight="1" s="46">
      <c r="A128" s="13" t="inlineStr">
        <is>
          <t>сандалии клирика (эксперт)</t>
        </is>
      </c>
      <c r="B128" s="49" t="n">
        <v>6045</v>
      </c>
      <c r="C128" s="9" t="n">
        <v>0</v>
      </c>
      <c r="D128" s="9" t="n">
        <v>100</v>
      </c>
      <c r="E128" s="10" t="inlineStr">
        <is>
          <t>0.70</t>
        </is>
      </c>
      <c r="F128" s="12" t="n">
        <v>2.5</v>
      </c>
      <c r="G128" s="18" t="n">
        <v>3592</v>
      </c>
      <c r="H128" s="12" t="n">
        <v>2453</v>
      </c>
      <c r="I128" s="6" t="n"/>
      <c r="J128" s="6">
        <f>IF((B128*0.935 - F128*500) / (1.025*(1+$P$2/100)) &lt;= F128*500/0.15,ROUND(MAX(0, (B128*0.935 - F128*500) / (1.025*(1+$P$2/100))),0),ROUND(MAX(0, B128*0.935 / (1.175*(1+$P$2/100))),0))</f>
        <v/>
      </c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3.5" customHeight="1" s="46">
      <c r="A129" s="14" t="inlineStr">
        <is>
          <t>сандалии клирика (мастер)</t>
        </is>
      </c>
      <c r="B129" s="49" t="n">
        <v>18421</v>
      </c>
      <c r="C129" s="9" t="n">
        <v>0</v>
      </c>
      <c r="D129" s="9" t="n">
        <v>70</v>
      </c>
      <c r="E129" s="10" t="inlineStr">
        <is>
          <t>0.80</t>
        </is>
      </c>
      <c r="F129" s="12" t="n">
        <v>3.8</v>
      </c>
      <c r="G129" s="18" t="n">
        <v>11999</v>
      </c>
      <c r="H129" s="12" t="n">
        <v>6422</v>
      </c>
      <c r="I129" s="6" t="n"/>
      <c r="J129" s="6">
        <f>IF((B129*0.935 - F129*500) / (1.025*(1+$P$2/100)) &lt;= F129*500/0.15,ROUND(MAX(0, (B129*0.935 - F129*500) / (1.025*(1+$P$2/100))),0),ROUND(MAX(0, B129*0.935 / (1.175*(1+$P$2/100))),0))</f>
        <v/>
      </c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3.5" customHeight="1" s="46">
      <c r="A130" s="15" t="inlineStr">
        <is>
          <t>сандалии клирика (магистр)</t>
        </is>
      </c>
      <c r="B130" s="49" t="n">
        <v>48425</v>
      </c>
      <c r="C130" s="16" t="n">
        <v>0</v>
      </c>
      <c r="D130" s="16" t="n">
        <v>10</v>
      </c>
      <c r="E130" s="10" t="inlineStr">
        <is>
          <t>0.75</t>
        </is>
      </c>
      <c r="F130" s="12" t="n">
        <v>5.7</v>
      </c>
      <c r="G130" s="18" t="n">
        <v>38900</v>
      </c>
      <c r="H130" s="12" t="n">
        <v>9525</v>
      </c>
      <c r="I130" s="6" t="n"/>
      <c r="J130" s="6">
        <f>IF((B130*0.935 - F130*500) / (1.025*(1+$P$2/100)) &lt;= F130*500/0.15,ROUND(MAX(0, (B130*0.935 - F130*500) / (1.025*(1+$P$2/100))),0),ROUND(MAX(0, B130*0.935 / (1.175*(1+$P$2/100))),0))</f>
        <v/>
      </c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3.5" customHeight="1" s="46">
      <c r="A131" s="17" t="inlineStr">
        <is>
          <t>сандалии клирика (старейшина)</t>
        </is>
      </c>
      <c r="B131" s="49" t="n">
        <v>144999</v>
      </c>
      <c r="C131" s="16" t="n">
        <v>0</v>
      </c>
      <c r="D131" s="16" t="n">
        <v>5</v>
      </c>
      <c r="E131" s="10" t="inlineStr">
        <is>
          <t>0.75</t>
        </is>
      </c>
      <c r="F131" s="12" t="n">
        <v>8.5</v>
      </c>
      <c r="G131" s="18" t="n">
        <v>149983</v>
      </c>
      <c r="H131" s="12" t="n">
        <v>-4984</v>
      </c>
      <c r="I131" s="6" t="n"/>
      <c r="J131" s="6">
        <f>IF((B131*0.935 - F131*500) / (1.025*(1+$P$2/100)) &lt;= F131*500/0.15,ROUND(MAX(0, (B131*0.935 - F131*500) / (1.025*(1+$P$2/100))),0),ROUND(MAX(0, B131*0.935 / (1.175*(1+$P$2/100))),0))</f>
        <v/>
      </c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3.5" customHeight="1" s="46">
      <c r="A132" s="7" t="inlineStr">
        <is>
          <t>сандалии чародея (знаток)</t>
        </is>
      </c>
      <c r="B132" s="47" t="n">
        <v>2000</v>
      </c>
      <c r="C132" s="9" t="n">
        <v>0</v>
      </c>
      <c r="D132" s="9" t="n">
        <v>100</v>
      </c>
      <c r="E132" s="10" t="inlineStr">
        <is>
          <t>0.55</t>
        </is>
      </c>
      <c r="F132" s="12" t="n">
        <v>1.7</v>
      </c>
      <c r="G132" s="18" t="n">
        <v>1075</v>
      </c>
      <c r="H132" s="12" t="n">
        <v>925</v>
      </c>
      <c r="I132" s="6" t="n"/>
      <c r="J132" s="6">
        <f>IF((B132*0.935 - F132*500) / (1.025*(1+$P$2/100)) &lt;= F132*500/0.15,ROUND(MAX(0, (B132*0.935 - F132*500) / (1.025*(1+$P$2/100))),0),ROUND(MAX(0, B132*0.935 / (1.175*(1+$P$2/100))),0))</f>
        <v/>
      </c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3.5" customHeight="1" s="46">
      <c r="A133" s="13" t="inlineStr">
        <is>
          <t>сандалии чародея (эксперт)</t>
        </is>
      </c>
      <c r="B133" s="47" t="n">
        <v>5799</v>
      </c>
      <c r="C133" s="9" t="n">
        <v>0</v>
      </c>
      <c r="D133" s="9" t="n">
        <v>100</v>
      </c>
      <c r="E133" s="10" t="inlineStr">
        <is>
          <t>0.70</t>
        </is>
      </c>
      <c r="F133" s="12" t="n">
        <v>2.5</v>
      </c>
      <c r="G133" s="18" t="n">
        <v>2783</v>
      </c>
      <c r="H133" s="12" t="n">
        <v>3016</v>
      </c>
      <c r="I133" s="6" t="n"/>
      <c r="J133" s="6">
        <f>IF((B133*0.935 - F133*500) / (1.025*(1+$P$2/100)) &lt;= F133*500/0.15,ROUND(MAX(0, (B133*0.935 - F133*500) / (1.025*(1+$P$2/100))),0),ROUND(MAX(0, B133*0.935 / (1.175*(1+$P$2/100))),0))</f>
        <v/>
      </c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3.5" customHeight="1" s="46">
      <c r="A134" s="14" t="inlineStr">
        <is>
          <t>сандалии чародея (мастер)</t>
        </is>
      </c>
      <c r="B134" s="47" t="n">
        <v>20688</v>
      </c>
      <c r="C134" s="9" t="n">
        <v>0</v>
      </c>
      <c r="D134" s="9" t="n">
        <v>70</v>
      </c>
      <c r="E134" s="10" t="inlineStr">
        <is>
          <t>0.80</t>
        </is>
      </c>
      <c r="F134" s="12" t="n">
        <v>3.8</v>
      </c>
      <c r="G134" s="18" t="n">
        <v>9980</v>
      </c>
      <c r="H134" s="12" t="n">
        <v>10708</v>
      </c>
      <c r="I134" s="6" t="n"/>
      <c r="J134" s="6">
        <f>IF((B134*0.935 - F134*500) / (1.025*(1+$P$2/100)) &lt;= F134*500/0.15,ROUND(MAX(0, (B134*0.935 - F134*500) / (1.025*(1+$P$2/100))),0),ROUND(MAX(0, B134*0.935 / (1.175*(1+$P$2/100))),0))</f>
        <v/>
      </c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3.5" customHeight="1" s="46">
      <c r="A135" s="15" t="inlineStr">
        <is>
          <t>сандалии чародея (магистр)</t>
        </is>
      </c>
      <c r="B135" s="47" t="n">
        <v>47794</v>
      </c>
      <c r="C135" s="16" t="n">
        <v>0</v>
      </c>
      <c r="D135" s="16" t="n">
        <v>10</v>
      </c>
      <c r="E135" s="10" t="inlineStr">
        <is>
          <t>0.75</t>
        </is>
      </c>
      <c r="F135" s="12" t="n">
        <v>5.7</v>
      </c>
      <c r="G135" s="18" t="n">
        <v>41982</v>
      </c>
      <c r="H135" s="12" t="n">
        <v>5812</v>
      </c>
      <c r="I135" s="6" t="n"/>
      <c r="J135" s="6">
        <f>IF((B135*0.935 - F135*500) / (1.025*(1+$P$2/100)) &lt;= F135*500/0.15,ROUND(MAX(0, (B135*0.935 - F135*500) / (1.025*(1+$P$2/100))),0),ROUND(MAX(0, B135*0.935 / (1.175*(1+$P$2/100))),0))</f>
        <v/>
      </c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3.5" customHeight="1" s="46">
      <c r="A136" s="17" t="inlineStr">
        <is>
          <t>сандалии чародея (старейшина)</t>
        </is>
      </c>
      <c r="B136" s="47" t="n">
        <v>125402</v>
      </c>
      <c r="C136" s="16" t="n">
        <v>0</v>
      </c>
      <c r="D136" s="16" t="n">
        <v>5</v>
      </c>
      <c r="E136" s="10" t="inlineStr">
        <is>
          <t>0.75</t>
        </is>
      </c>
      <c r="F136" s="12" t="n">
        <v>8.5</v>
      </c>
      <c r="G136" s="18" t="n">
        <v>99999</v>
      </c>
      <c r="H136" s="12" t="n">
        <v>25403</v>
      </c>
      <c r="I136" s="6" t="n"/>
      <c r="J136" s="6">
        <f>IF((B136*0.935 - F136*500) / (1.025*(1+$P$2/100)) &lt;= F136*500/0.15,ROUND(MAX(0, (B136*0.935 - F136*500) / (1.025*(1+$P$2/100))),0),ROUND(MAX(0, B136*0.935 / (1.175*(1+$P$2/100))),0))</f>
        <v/>
      </c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3.5" customHeight="1" s="46">
      <c r="A137" s="7" t="inlineStr">
        <is>
          <t>лук (знаток)</t>
        </is>
      </c>
      <c r="B137" s="51" t="n">
        <v>8899</v>
      </c>
      <c r="C137" s="9" t="n">
        <v>0</v>
      </c>
      <c r="D137" s="9" t="n">
        <v>100</v>
      </c>
      <c r="E137" s="10" t="inlineStr">
        <is>
          <t>0.55</t>
        </is>
      </c>
      <c r="F137" s="12" t="n">
        <v>6.8</v>
      </c>
      <c r="G137" s="18" t="n">
        <v>4883</v>
      </c>
      <c r="H137" s="12" t="n">
        <v>4016</v>
      </c>
      <c r="I137" s="6" t="n"/>
      <c r="J137" s="6">
        <f>IF((B137*0.935 - F137*500) / (1.025*(1+$P$2/100)) &lt;= F137*500/0.15,ROUND(MAX(0, (B137*0.935 - F137*500) / (1.025*(1+$P$2/100))),0),ROUND(MAX(0, B137*0.935 / (1.175*(1+$P$2/100))),0))</f>
        <v/>
      </c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3.5" customHeight="1" s="46">
      <c r="A138" s="13" t="inlineStr">
        <is>
          <t>лук (эксперт)</t>
        </is>
      </c>
      <c r="B138" s="51" t="n">
        <v>22949</v>
      </c>
      <c r="C138" s="9" t="n">
        <v>0</v>
      </c>
      <c r="D138" s="9" t="n">
        <v>70</v>
      </c>
      <c r="E138" s="10" t="inlineStr">
        <is>
          <t>0.70</t>
        </is>
      </c>
      <c r="F138" s="12" t="n">
        <v>10.1</v>
      </c>
      <c r="G138" s="18" t="n">
        <v>14995</v>
      </c>
      <c r="H138" s="12" t="n">
        <v>7954</v>
      </c>
      <c r="I138" s="6" t="n"/>
      <c r="J138" s="6">
        <f>IF((B138*0.935 - F138*500) / (1.025*(1+$P$2/100)) &lt;= F138*500/0.15,ROUND(MAX(0, (B138*0.935 - F138*500) / (1.025*(1+$P$2/100))),0),ROUND(MAX(0, B138*0.935 / (1.175*(1+$P$2/100))),0))</f>
        <v/>
      </c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3.5" customHeight="1" s="46">
      <c r="A139" s="14" t="inlineStr">
        <is>
          <t>лук (мастер)</t>
        </is>
      </c>
      <c r="B139" s="51" t="n">
        <v>59977</v>
      </c>
      <c r="C139" s="9" t="n">
        <v>0</v>
      </c>
      <c r="D139" s="9" t="n">
        <v>35</v>
      </c>
      <c r="E139" s="10" t="inlineStr">
        <is>
          <t>0.80</t>
        </is>
      </c>
      <c r="F139" s="12" t="n">
        <v>15.2</v>
      </c>
      <c r="G139" s="18" t="n">
        <v>40998</v>
      </c>
      <c r="H139" s="12" t="n">
        <v>18979</v>
      </c>
      <c r="I139" s="6" t="n"/>
      <c r="J139" s="6">
        <f>IF((B139*0.935 - F139*500) / (1.025*(1+$P$2/100)) &lt;= F139*500/0.15,ROUND(MAX(0, (B139*0.935 - F139*500) / (1.025*(1+$P$2/100))),0),ROUND(MAX(0, B139*0.935 / (1.175*(1+$P$2/100))),0))</f>
        <v/>
      </c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3.5" customHeight="1" s="46">
      <c r="A140" s="15" t="inlineStr">
        <is>
          <t>лук (магистр)</t>
        </is>
      </c>
      <c r="B140" s="51" t="n">
        <v>195943</v>
      </c>
      <c r="C140" s="16" t="n">
        <v>0</v>
      </c>
      <c r="D140" s="16" t="n">
        <v>6</v>
      </c>
      <c r="E140" s="10" t="inlineStr">
        <is>
          <t>0.75</t>
        </is>
      </c>
      <c r="F140" s="12" t="n">
        <v>22.8</v>
      </c>
      <c r="G140" s="18" t="n">
        <v>168939</v>
      </c>
      <c r="H140" s="12" t="n">
        <v>27004</v>
      </c>
      <c r="I140" s="6" t="n"/>
      <c r="J140" s="6">
        <f>IF((B140*0.935 - F140*500) / (1.025*(1+$P$2/100)) &lt;= F140*500/0.15,ROUND(MAX(0, (B140*0.935 - F140*500) / (1.025*(1+$P$2/100))),0),ROUND(MAX(0, B140*0.935 / (1.175*(1+$P$2/100))),0))</f>
        <v/>
      </c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3.5" customHeight="1" s="46">
      <c r="A141" s="17" t="inlineStr">
        <is>
          <t>лук (старейшина)</t>
        </is>
      </c>
      <c r="B141" s="51" t="n">
        <v>595476</v>
      </c>
      <c r="C141" s="16" t="n">
        <v>0</v>
      </c>
      <c r="D141" s="16" t="n">
        <v>3</v>
      </c>
      <c r="E141" s="10" t="inlineStr">
        <is>
          <t>0.75</t>
        </is>
      </c>
      <c r="F141" s="12" t="n">
        <v>34.2</v>
      </c>
      <c r="G141" s="18" t="n">
        <v>487999</v>
      </c>
      <c r="H141" s="12" t="n">
        <v>107477</v>
      </c>
      <c r="I141" s="6" t="n"/>
      <c r="J141" s="6">
        <f>IF((B141*0.935 - F141*500) / (1.025*(1+$P$2/100)) &lt;= F141*500/0.15,ROUND(MAX(0, (B141*0.935 - F141*500) / (1.025*(1+$P$2/100))),0),ROUND(MAX(0, B141*0.935 / (1.175*(1+$P$2/100))),0))</f>
        <v/>
      </c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3.5" customHeight="1" s="46">
      <c r="A142" s="7" t="inlineStr">
        <is>
          <t>боевой лук (знаток)</t>
        </is>
      </c>
      <c r="B142" s="52" t="n">
        <v>9102</v>
      </c>
      <c r="C142" s="9" t="n">
        <v>0</v>
      </c>
      <c r="D142" s="9" t="n">
        <v>100</v>
      </c>
      <c r="E142" s="10" t="inlineStr">
        <is>
          <t>0.55</t>
        </is>
      </c>
      <c r="F142" s="12" t="n">
        <v>6.8</v>
      </c>
      <c r="G142" s="18" t="n">
        <v>4791</v>
      </c>
      <c r="H142" s="12" t="n">
        <v>4311</v>
      </c>
      <c r="I142" s="6" t="n"/>
      <c r="J142" s="6">
        <f>IF((B142*0.935 - F142*500) / (1.025*(1+$P$2/100)) &lt;= F142*500/0.15,ROUND(MAX(0, (B142*0.935 - F142*500) / (1.025*(1+$P$2/100))),0),ROUND(MAX(0, B142*0.935 / (1.175*(1+$P$2/100))),0))</f>
        <v/>
      </c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3.5" customHeight="1" s="46">
      <c r="A143" s="13" t="inlineStr">
        <is>
          <t>боевой лук (эксперт)</t>
        </is>
      </c>
      <c r="B143" s="52" t="n">
        <v>21976</v>
      </c>
      <c r="C143" s="9" t="n">
        <v>0</v>
      </c>
      <c r="D143" s="9" t="n">
        <v>70</v>
      </c>
      <c r="E143" s="10" t="inlineStr">
        <is>
          <t>0.70</t>
        </is>
      </c>
      <c r="F143" s="12" t="n">
        <v>10.1</v>
      </c>
      <c r="G143" s="18" t="n">
        <v>12999</v>
      </c>
      <c r="H143" s="12" t="n">
        <v>8977</v>
      </c>
      <c r="I143" s="6" t="n"/>
      <c r="J143" s="6">
        <f>IF((B143*0.935 - F143*500) / (1.025*(1+$P$2/100)) &lt;= F143*500/0.15,ROUND(MAX(0, (B143*0.935 - F143*500) / (1.025*(1+$P$2/100))),0),ROUND(MAX(0, B143*0.935 / (1.175*(1+$P$2/100))),0))</f>
        <v/>
      </c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3.5" customHeight="1" s="46">
      <c r="A144" s="14" t="inlineStr">
        <is>
          <t>боевой лук (мастер)</t>
        </is>
      </c>
      <c r="B144" s="52" t="n">
        <v>68662</v>
      </c>
      <c r="C144" s="9" t="n">
        <v>0</v>
      </c>
      <c r="D144" s="9" t="n">
        <v>35</v>
      </c>
      <c r="E144" s="10" t="inlineStr">
        <is>
          <t>0.80</t>
        </is>
      </c>
      <c r="F144" s="12" t="n">
        <v>15.2</v>
      </c>
      <c r="G144" s="18" t="n">
        <v>52800</v>
      </c>
      <c r="H144" s="12" t="n">
        <v>15862</v>
      </c>
      <c r="I144" s="6" t="n"/>
      <c r="J144" s="6">
        <f>IF((B144*0.935 - F144*500) / (1.025*(1+$P$2/100)) &lt;= F144*500/0.15,ROUND(MAX(0, (B144*0.935 - F144*500) / (1.025*(1+$P$2/100))),0),ROUND(MAX(0, B144*0.935 / (1.175*(1+$P$2/100))),0))</f>
        <v/>
      </c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3.5" customHeight="1" s="46">
      <c r="A145" s="15" t="inlineStr">
        <is>
          <t>боевой лук (магистр)</t>
        </is>
      </c>
      <c r="B145" s="52" t="n">
        <v>195464</v>
      </c>
      <c r="C145" s="16" t="n">
        <v>0</v>
      </c>
      <c r="D145" s="16" t="n">
        <v>6</v>
      </c>
      <c r="E145" s="10" t="inlineStr">
        <is>
          <t>0.75</t>
        </is>
      </c>
      <c r="F145" s="12" t="n">
        <v>22.8</v>
      </c>
      <c r="G145" s="18" t="n">
        <v>173890</v>
      </c>
      <c r="H145" s="12" t="n">
        <v>21574</v>
      </c>
      <c r="I145" s="6" t="n"/>
      <c r="J145" s="6">
        <f>IF((B145*0.935 - F145*500) / (1.025*(1+$P$2/100)) &lt;= F145*500/0.15,ROUND(MAX(0, (B145*0.935 - F145*500) / (1.025*(1+$P$2/100))),0),ROUND(MAX(0, B145*0.935 / (1.175*(1+$P$2/100))),0))</f>
        <v/>
      </c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3.5" customHeight="1" s="46">
      <c r="A146" s="17" t="inlineStr">
        <is>
          <t>боевой лук (старейшина)</t>
        </is>
      </c>
      <c r="B146" s="52" t="n">
        <v>596246</v>
      </c>
      <c r="C146" s="16" t="n">
        <v>0</v>
      </c>
      <c r="D146" s="16" t="n">
        <v>3</v>
      </c>
      <c r="E146" s="10" t="inlineStr">
        <is>
          <t>0.75</t>
        </is>
      </c>
      <c r="F146" s="12" t="n">
        <v>34.2</v>
      </c>
      <c r="G146" s="18" t="n">
        <v>495999</v>
      </c>
      <c r="H146" s="12" t="n">
        <v>100247</v>
      </c>
      <c r="I146" s="6" t="n"/>
      <c r="J146" s="6">
        <f>IF((B146*0.935 - F146*500) / (1.025*(1+$P$2/100)) &lt;= F146*500/0.15,ROUND(MAX(0, (B146*0.935 - F146*500) / (1.025*(1+$P$2/100))),0),ROUND(MAX(0, B146*0.935 / (1.175*(1+$P$2/100))),0))</f>
        <v/>
      </c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3.5" customHeight="1" s="46">
      <c r="A147" s="7" t="inlineStr">
        <is>
          <t>длинный лук (знаток)</t>
        </is>
      </c>
      <c r="B147" s="53" t="n">
        <v>6996</v>
      </c>
      <c r="C147" s="9" t="n">
        <v>0</v>
      </c>
      <c r="D147" s="9" t="n">
        <v>100</v>
      </c>
      <c r="E147" s="10" t="inlineStr">
        <is>
          <t>0.55</t>
        </is>
      </c>
      <c r="F147" s="12" t="n">
        <v>6.8</v>
      </c>
      <c r="G147" s="18" t="n">
        <v>2500</v>
      </c>
      <c r="H147" s="12" t="n">
        <v>4496</v>
      </c>
      <c r="I147" s="6" t="n"/>
      <c r="J147" s="6">
        <f>IF((B147*0.935 - F147*500) / (1.025*(1+$P$2/100)) &lt;= F147*500/0.15,ROUND(MAX(0, (B147*0.935 - F147*500) / (1.025*(1+$P$2/100))),0),ROUND(MAX(0, B147*0.935 / (1.175*(1+$P$2/100))),0))</f>
        <v/>
      </c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3.5" customHeight="1" s="46">
      <c r="A148" s="13" t="inlineStr">
        <is>
          <t>длинный лук (эксперт)</t>
        </is>
      </c>
      <c r="B148" s="53" t="n">
        <v>21098</v>
      </c>
      <c r="C148" s="9" t="n">
        <v>0</v>
      </c>
      <c r="D148" s="9" t="n">
        <v>70</v>
      </c>
      <c r="E148" s="10" t="inlineStr">
        <is>
          <t>0.70</t>
        </is>
      </c>
      <c r="F148" s="12" t="n">
        <v>10.1</v>
      </c>
      <c r="G148" s="18" t="n">
        <v>13000</v>
      </c>
      <c r="H148" s="12" t="n">
        <v>8098</v>
      </c>
      <c r="I148" s="6" t="n"/>
      <c r="J148" s="6">
        <f>IF((B148*0.935 - F148*500) / (1.025*(1+$P$2/100)) &lt;= F148*500/0.15,ROUND(MAX(0, (B148*0.935 - F148*500) / (1.025*(1+$P$2/100))),0),ROUND(MAX(0, B148*0.935 / (1.175*(1+$P$2/100))),0))</f>
        <v/>
      </c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3.5" customHeight="1" s="46">
      <c r="A149" s="14" t="inlineStr">
        <is>
          <t>длинный лук (мастер)</t>
        </is>
      </c>
      <c r="B149" s="53" t="n">
        <v>62866</v>
      </c>
      <c r="C149" s="9" t="n">
        <v>0</v>
      </c>
      <c r="D149" s="9" t="n">
        <v>35</v>
      </c>
      <c r="E149" s="10" t="inlineStr">
        <is>
          <t>0.80</t>
        </is>
      </c>
      <c r="F149" s="12" t="n">
        <v>15.2</v>
      </c>
      <c r="G149" s="18" t="n">
        <v>47999</v>
      </c>
      <c r="H149" s="12" t="n">
        <v>14867</v>
      </c>
      <c r="I149" s="6" t="n"/>
      <c r="J149" s="6">
        <f>IF((B149*0.935 - F149*500) / (1.025*(1+$P$2/100)) &lt;= F149*500/0.15,ROUND(MAX(0, (B149*0.935 - F149*500) / (1.025*(1+$P$2/100))),0),ROUND(MAX(0, B149*0.935 / (1.175*(1+$P$2/100))),0))</f>
        <v/>
      </c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3.5" customHeight="1" s="46">
      <c r="A150" s="15" t="inlineStr">
        <is>
          <t>длинный лук (магистр)</t>
        </is>
      </c>
      <c r="B150" s="53" t="n">
        <v>192969</v>
      </c>
      <c r="C150" s="16" t="n">
        <v>0</v>
      </c>
      <c r="D150" s="16" t="n">
        <v>6</v>
      </c>
      <c r="E150" s="10" t="inlineStr">
        <is>
          <t>0.75</t>
        </is>
      </c>
      <c r="F150" s="12" t="n">
        <v>22.8</v>
      </c>
      <c r="G150" s="18" t="n">
        <v>168500</v>
      </c>
      <c r="H150" s="12" t="n">
        <v>24469</v>
      </c>
      <c r="I150" s="6" t="n"/>
      <c r="J150" s="6">
        <f>IF((B150*0.935 - F150*500) / (1.025*(1+$P$2/100)) &lt;= F150*500/0.15,ROUND(MAX(0, (B150*0.935 - F150*500) / (1.025*(1+$P$2/100))),0),ROUND(MAX(0, B150*0.935 / (1.175*(1+$P$2/100))),0))</f>
        <v/>
      </c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3.5" customHeight="1" s="46">
      <c r="A151" s="17" t="inlineStr">
        <is>
          <t>длинный лук (старейшина)</t>
        </is>
      </c>
      <c r="B151" s="53" t="n">
        <v>743538</v>
      </c>
      <c r="C151" s="16" t="n">
        <v>0</v>
      </c>
      <c r="D151" s="16" t="n">
        <v>3</v>
      </c>
      <c r="E151" s="10" t="inlineStr">
        <is>
          <t>0.75</t>
        </is>
      </c>
      <c r="F151" s="12" t="n">
        <v>34.2</v>
      </c>
      <c r="G151" s="18" t="n">
        <v>699500</v>
      </c>
      <c r="H151" s="12" t="n">
        <v>44038</v>
      </c>
      <c r="I151" s="6" t="n"/>
      <c r="J151" s="6">
        <f>IF((B151*0.935 - F151*500) / (1.025*(1+$P$2/100)) &lt;= F151*500/0.15,ROUND(MAX(0, (B151*0.935 - F151*500) / (1.025*(1+$P$2/100))),0),ROUND(MAX(0, B151*0.935 / (1.175*(1+$P$2/100))),0))</f>
        <v/>
      </c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3.5" customHeight="1" s="46">
      <c r="A152" s="7" t="inlineStr">
        <is>
          <t>арбалет (знаток)</t>
        </is>
      </c>
      <c r="B152" s="49" t="n">
        <v>0</v>
      </c>
      <c r="C152" s="9" t="n">
        <v>0</v>
      </c>
      <c r="D152" s="9" t="n">
        <v>0</v>
      </c>
      <c r="E152" s="10" t="inlineStr">
        <is>
          <t>0.55</t>
        </is>
      </c>
      <c r="F152" s="12" t="n">
        <v>6.8</v>
      </c>
      <c r="G152" s="18" t="n">
        <v>0</v>
      </c>
      <c r="H152" s="12" t="n">
        <v>0</v>
      </c>
      <c r="I152" s="6" t="n"/>
      <c r="J152" s="6">
        <f>IF((B152*0.935 - F152*500) / (1.025*(1+$P$2/100)) &lt;= F152*500/0.15,ROUND(MAX(0, (B152*0.935 - F152*500) / (1.025*(1+$P$2/100))),0),ROUND(MAX(0, B152*0.935 / (1.175*(1+$P$2/100))),0))</f>
        <v/>
      </c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3.5" customHeight="1" s="46">
      <c r="A153" s="13" t="inlineStr">
        <is>
          <t>арбалет (эксперт)</t>
        </is>
      </c>
      <c r="B153" s="49" t="n">
        <v>0</v>
      </c>
      <c r="C153" s="9" t="n">
        <v>0</v>
      </c>
      <c r="D153" s="9" t="n">
        <v>0</v>
      </c>
      <c r="E153" s="10" t="inlineStr">
        <is>
          <t>0.70</t>
        </is>
      </c>
      <c r="F153" s="12" t="n">
        <v>10.1</v>
      </c>
      <c r="G153" s="18" t="n">
        <v>0</v>
      </c>
      <c r="H153" s="12" t="n">
        <v>0</v>
      </c>
      <c r="I153" s="6" t="n"/>
      <c r="J153" s="6">
        <f>IF((B153*0.935 - F153*500) / (1.025*(1+$P$2/100)) &lt;= F153*500/0.15,ROUND(MAX(0, (B153*0.935 - F153*500) / (1.025*(1+$P$2/100))),0),ROUND(MAX(0, B153*0.935 / (1.175*(1+$P$2/100))),0))</f>
        <v/>
      </c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3.5" customHeight="1" s="46">
      <c r="A154" s="14" t="inlineStr">
        <is>
          <t>арбалет (мастер)</t>
        </is>
      </c>
      <c r="B154" s="49" t="n">
        <v>0</v>
      </c>
      <c r="C154" s="9" t="n">
        <v>0</v>
      </c>
      <c r="D154" s="9" t="n">
        <v>0</v>
      </c>
      <c r="E154" s="10" t="inlineStr">
        <is>
          <t>0.80</t>
        </is>
      </c>
      <c r="F154" s="12" t="n">
        <v>15.2</v>
      </c>
      <c r="G154" s="18" t="n">
        <v>0</v>
      </c>
      <c r="H154" s="12" t="n">
        <v>0</v>
      </c>
      <c r="I154" s="6" t="n"/>
      <c r="J154" s="6">
        <f>IF((B154*0.935 - F154*500) / (1.025*(1+$P$2/100)) &lt;= F154*500/0.15,ROUND(MAX(0, (B154*0.935 - F154*500) / (1.025*(1+$P$2/100))),0),ROUND(MAX(0, B154*0.935 / (1.175*(1+$P$2/100))),0))</f>
        <v/>
      </c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3.5" customHeight="1" s="46">
      <c r="A155" s="15" t="inlineStr">
        <is>
          <t>арбалет (магистр)</t>
        </is>
      </c>
      <c r="B155" s="49" t="n">
        <v>0</v>
      </c>
      <c r="C155" s="16" t="n">
        <v>0</v>
      </c>
      <c r="D155" s="16" t="n">
        <v>6</v>
      </c>
      <c r="E155" s="10" t="inlineStr">
        <is>
          <t>0.75</t>
        </is>
      </c>
      <c r="F155" s="12" t="n">
        <v>22.8</v>
      </c>
      <c r="G155" s="18" t="n">
        <v>0</v>
      </c>
      <c r="H155" s="12" t="n">
        <v>0</v>
      </c>
      <c r="I155" s="6" t="n"/>
      <c r="J155" s="6">
        <f>IF((B155*0.935 - F155*500) / (1.025*(1+$P$2/100)) &lt;= F155*500/0.15,ROUND(MAX(0, (B155*0.935 - F155*500) / (1.025*(1+$P$2/100))),0),ROUND(MAX(0, B155*0.935 / (1.175*(1+$P$2/100))),0))</f>
        <v/>
      </c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3.5" customHeight="1" s="46">
      <c r="A156" s="17" t="inlineStr">
        <is>
          <t>арбалет (старейшина)</t>
        </is>
      </c>
      <c r="B156" s="49" t="n">
        <v>0</v>
      </c>
      <c r="C156" s="16" t="n">
        <v>0</v>
      </c>
      <c r="D156" s="16" t="n">
        <v>3</v>
      </c>
      <c r="E156" s="10" t="inlineStr">
        <is>
          <t>0.75</t>
        </is>
      </c>
      <c r="F156" s="12" t="n">
        <v>34.2</v>
      </c>
      <c r="G156" s="18" t="n">
        <v>0</v>
      </c>
      <c r="H156" s="12" t="n">
        <v>0</v>
      </c>
      <c r="I156" s="6" t="n"/>
      <c r="J156" s="6">
        <f>IF((B156*0.935 - F156*500) / (1.025*(1+$P$2/100)) &lt;= F156*500/0.15,ROUND(MAX(0, (B156*0.935 - F156*500) / (1.025*(1+$P$2/100))),0),ROUND(MAX(0, B156*0.935 / (1.175*(1+$P$2/100))),0))</f>
        <v/>
      </c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3.5" customHeight="1" s="46">
      <c r="A157" s="7" t="inlineStr">
        <is>
          <t>тяжелый арбалет (знаток)</t>
        </is>
      </c>
      <c r="B157" s="54" t="n">
        <v>13920</v>
      </c>
      <c r="C157" s="9" t="n">
        <v>0</v>
      </c>
      <c r="D157" s="9" t="n">
        <v>100</v>
      </c>
      <c r="E157" s="10" t="inlineStr">
        <is>
          <t>0.55</t>
        </is>
      </c>
      <c r="F157" s="12" t="n">
        <v>6.8</v>
      </c>
      <c r="G157" s="18" t="n">
        <v>4543</v>
      </c>
      <c r="H157" s="12" t="n">
        <v>9377</v>
      </c>
      <c r="I157" s="6" t="n"/>
      <c r="J157" s="6">
        <f>IF((B157*0.935 - F157*500) / (1.025*(1+$P$2/100)) &lt;= F157*500/0.15,ROUND(MAX(0, (B157*0.935 - F157*500) / (1.025*(1+$P$2/100))),0),ROUND(MAX(0, B157*0.935 / (1.175*(1+$P$2/100))),0))</f>
        <v/>
      </c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3.5" customHeight="1" s="46">
      <c r="A158" s="13" t="inlineStr">
        <is>
          <t>тяжелый арбалет (эксперт)</t>
        </is>
      </c>
      <c r="B158" s="54" t="n">
        <v>29087</v>
      </c>
      <c r="C158" s="9" t="n">
        <v>0</v>
      </c>
      <c r="D158" s="9" t="n">
        <v>70</v>
      </c>
      <c r="E158" s="10" t="inlineStr">
        <is>
          <t>0.70</t>
        </is>
      </c>
      <c r="F158" s="12" t="n">
        <v>10.1</v>
      </c>
      <c r="G158" s="18" t="n">
        <v>9999</v>
      </c>
      <c r="H158" s="12" t="n">
        <v>19088</v>
      </c>
      <c r="I158" s="6" t="n"/>
      <c r="J158" s="6">
        <f>IF((B158*0.935 - F158*500) / (1.025*(1+$P$2/100)) &lt;= F158*500/0.15,ROUND(MAX(0, (B158*0.935 - F158*500) / (1.025*(1+$P$2/100))),0),ROUND(MAX(0, B158*0.935 / (1.175*(1+$P$2/100))),0))</f>
        <v/>
      </c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3.5" customHeight="1" s="46">
      <c r="A159" s="14" t="inlineStr">
        <is>
          <t>тяжелый арбалет (мастер)</t>
        </is>
      </c>
      <c r="B159" s="54" t="n">
        <v>96954</v>
      </c>
      <c r="C159" s="9" t="n">
        <v>0</v>
      </c>
      <c r="D159" s="9" t="n">
        <v>35</v>
      </c>
      <c r="E159" s="10" t="inlineStr">
        <is>
          <t>0.80</t>
        </is>
      </c>
      <c r="F159" s="12" t="n">
        <v>15.2</v>
      </c>
      <c r="G159" s="18" t="n">
        <v>55998</v>
      </c>
      <c r="H159" s="12" t="n">
        <v>40956</v>
      </c>
      <c r="I159" s="6" t="n"/>
      <c r="J159" s="6">
        <f>IF((B159*0.935 - F159*500) / (1.025*(1+$P$2/100)) &lt;= F159*500/0.15,ROUND(MAX(0, (B159*0.935 - F159*500) / (1.025*(1+$P$2/100))),0),ROUND(MAX(0, B159*0.935 / (1.175*(1+$P$2/100))),0))</f>
        <v/>
      </c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3.5" customHeight="1" s="46">
      <c r="A160" s="15" t="inlineStr">
        <is>
          <t>тяжелый арбалет (магистр)</t>
        </is>
      </c>
      <c r="B160" s="54" t="n">
        <v>244992</v>
      </c>
      <c r="C160" s="16" t="n">
        <v>0</v>
      </c>
      <c r="D160" s="16" t="n">
        <v>6</v>
      </c>
      <c r="E160" s="10" t="inlineStr">
        <is>
          <t>0.75</t>
        </is>
      </c>
      <c r="F160" s="12" t="n">
        <v>22.8</v>
      </c>
      <c r="G160" s="18" t="n">
        <v>166665</v>
      </c>
      <c r="H160" s="12" t="n">
        <v>78327</v>
      </c>
      <c r="I160" s="6" t="n"/>
      <c r="J160" s="6">
        <f>IF((B160*0.935 - F160*500) / (1.025*(1+$P$2/100)) &lt;= F160*500/0.15,ROUND(MAX(0, (B160*0.935 - F160*500) / (1.025*(1+$P$2/100))),0),ROUND(MAX(0, B160*0.935 / (1.175*(1+$P$2/100))),0))</f>
        <v/>
      </c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3.5" customHeight="1" s="46">
      <c r="A161" s="17" t="inlineStr">
        <is>
          <t>тяжелый арбалет (старейшина)</t>
        </is>
      </c>
      <c r="B161" s="54" t="n">
        <v>876998</v>
      </c>
      <c r="C161" s="16" t="n">
        <v>0</v>
      </c>
      <c r="D161" s="16" t="n">
        <v>3</v>
      </c>
      <c r="E161" s="10" t="inlineStr">
        <is>
          <t>0.75</t>
        </is>
      </c>
      <c r="F161" s="12" t="n">
        <v>34.2</v>
      </c>
      <c r="G161" s="18" t="n">
        <v>653500</v>
      </c>
      <c r="H161" s="12" t="n">
        <v>223498</v>
      </c>
      <c r="I161" s="6" t="n"/>
      <c r="J161" s="6">
        <f>IF((B161*0.935 - F161*500) / (1.025*(1+$P$2/100)) &lt;= F161*500/0.15,ROUND(MAX(0, (B161*0.935 - F161*500) / (1.025*(1+$P$2/100))),0),ROUND(MAX(0, B161*0.935 / (1.175*(1+$P$2/100))),0))</f>
        <v/>
      </c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3.5" customHeight="1" s="46">
      <c r="A162" s="7" t="inlineStr">
        <is>
          <t>легкий арбалет (знаток)</t>
        </is>
      </c>
      <c r="B162" s="51" t="n">
        <v>9954</v>
      </c>
      <c r="C162" s="9" t="n">
        <v>0</v>
      </c>
      <c r="D162" s="9" t="n">
        <v>100</v>
      </c>
      <c r="E162" s="10" t="inlineStr">
        <is>
          <t>0.55</t>
        </is>
      </c>
      <c r="F162" s="12" t="n">
        <v>5.1</v>
      </c>
      <c r="G162" s="18" t="n">
        <v>3196</v>
      </c>
      <c r="H162" s="12" t="n">
        <v>6758</v>
      </c>
      <c r="I162" s="6" t="n"/>
      <c r="J162" s="6">
        <f>IF((B162*0.935 - F162*500) / (1.025*(1+$P$2/100)) &lt;= F162*500/0.15,ROUND(MAX(0, (B162*0.935 - F162*500) / (1.025*(1+$P$2/100))),0),ROUND(MAX(0, B162*0.935 / (1.175*(1+$P$2/100))),0))</f>
        <v/>
      </c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3.5" customHeight="1" s="46">
      <c r="A163" s="13" t="inlineStr">
        <is>
          <t>легкий арбалет (эксперт)</t>
        </is>
      </c>
      <c r="B163" s="51" t="n">
        <v>27989</v>
      </c>
      <c r="C163" s="9" t="n">
        <v>0</v>
      </c>
      <c r="D163" s="9" t="n">
        <v>70</v>
      </c>
      <c r="E163" s="10" t="inlineStr">
        <is>
          <t>0.70</t>
        </is>
      </c>
      <c r="F163" s="12" t="n">
        <v>7.6</v>
      </c>
      <c r="G163" s="18" t="n">
        <v>17500</v>
      </c>
      <c r="H163" s="12" t="n">
        <v>10489</v>
      </c>
      <c r="I163" s="6" t="n"/>
      <c r="J163" s="6">
        <f>IF((B163*0.935 - F163*500) / (1.025*(1+$P$2/100)) &lt;= F163*500/0.15,ROUND(MAX(0, (B163*0.935 - F163*500) / (1.025*(1+$P$2/100))),0),ROUND(MAX(0, B163*0.935 / (1.175*(1+$P$2/100))),0))</f>
        <v/>
      </c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3.5" customHeight="1" s="46">
      <c r="A164" s="14" t="inlineStr">
        <is>
          <t>легкий арбалет (мастер)</t>
        </is>
      </c>
      <c r="B164" s="51" t="n">
        <v>73998</v>
      </c>
      <c r="C164" s="9" t="n">
        <v>0</v>
      </c>
      <c r="D164" s="9" t="n">
        <v>35</v>
      </c>
      <c r="E164" s="10" t="inlineStr">
        <is>
          <t>0.80</t>
        </is>
      </c>
      <c r="F164" s="12" t="n">
        <v>11.4</v>
      </c>
      <c r="G164" s="18" t="n">
        <v>45978</v>
      </c>
      <c r="H164" s="12" t="n">
        <v>28020</v>
      </c>
      <c r="I164" s="6" t="n"/>
      <c r="J164" s="6">
        <f>IF((B164*0.935 - F164*500) / (1.025*(1+$P$2/100)) &lt;= F164*500/0.15,ROUND(MAX(0, (B164*0.935 - F164*500) / (1.025*(1+$P$2/100))),0),ROUND(MAX(0, B164*0.935 / (1.175*(1+$P$2/100))),0))</f>
        <v/>
      </c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3.5" customHeight="1" s="46">
      <c r="A165" s="15" t="inlineStr">
        <is>
          <t>легкий арбалет (магистр)</t>
        </is>
      </c>
      <c r="B165" s="51" t="n">
        <v>176965</v>
      </c>
      <c r="C165" s="16" t="n">
        <v>0</v>
      </c>
      <c r="D165" s="16" t="n">
        <v>6</v>
      </c>
      <c r="E165" s="10" t="inlineStr">
        <is>
          <t>0.75</t>
        </is>
      </c>
      <c r="F165" s="12" t="n">
        <v>17.1</v>
      </c>
      <c r="G165" s="18" t="n">
        <v>119994</v>
      </c>
      <c r="H165" s="12" t="n">
        <v>56971</v>
      </c>
      <c r="I165" s="6" t="n"/>
      <c r="J165" s="6">
        <f>IF((B165*0.935 - F165*500) / (1.025*(1+$P$2/100)) &lt;= F165*500/0.15,ROUND(MAX(0, (B165*0.935 - F165*500) / (1.025*(1+$P$2/100))),0),ROUND(MAX(0, B165*0.935 / (1.175*(1+$P$2/100))),0))</f>
        <v/>
      </c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3.5" customHeight="1" s="46">
      <c r="A166" s="17" t="inlineStr">
        <is>
          <t>легкий арбалет (старейшина)</t>
        </is>
      </c>
      <c r="B166" s="51" t="n">
        <v>477997</v>
      </c>
      <c r="C166" s="16" t="n">
        <v>0</v>
      </c>
      <c r="D166" s="16" t="n">
        <v>3</v>
      </c>
      <c r="E166" s="10" t="inlineStr">
        <is>
          <t>0.75</t>
        </is>
      </c>
      <c r="F166" s="12" t="n">
        <v>25.6</v>
      </c>
      <c r="G166" s="18" t="n">
        <v>399982</v>
      </c>
      <c r="H166" s="12" t="n">
        <v>78015</v>
      </c>
      <c r="I166" s="6" t="n"/>
      <c r="J166" s="6">
        <f>IF((B166*0.935 - F166*500) / (1.025*(1+$P$2/100)) &lt;= F166*500/0.15,ROUND(MAX(0, (B166*0.935 - F166*500) / (1.025*(1+$P$2/100))),0),ROUND(MAX(0, B166*0.935 / (1.175*(1+$P$2/100))),0))</f>
        <v/>
      </c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3.5" customHeight="1" s="46">
      <c r="A167" s="7" t="inlineStr">
        <is>
          <t>боевой топор (знаток)</t>
        </is>
      </c>
      <c r="B167" s="52" t="n">
        <v>8328</v>
      </c>
      <c r="C167" s="9" t="n">
        <v>0</v>
      </c>
      <c r="D167" s="9" t="n">
        <v>100</v>
      </c>
      <c r="E167" s="10" t="inlineStr">
        <is>
          <t>0.55</t>
        </is>
      </c>
      <c r="F167" s="12" t="n">
        <v>5.1</v>
      </c>
      <c r="G167" s="18" t="n">
        <v>3146</v>
      </c>
      <c r="H167" s="12" t="n">
        <v>5182</v>
      </c>
      <c r="I167" s="6" t="n"/>
      <c r="J167" s="6">
        <f>IF((B167*0.935 - F167*500) / (1.025*(1+$P$2/100)) &lt;= F167*500/0.15,ROUND(MAX(0, (B167*0.935 - F167*500) / (1.025*(1+$P$2/100))),0),ROUND(MAX(0, B167*0.935 / (1.175*(1+$P$2/100))),0))</f>
        <v/>
      </c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3.5" customHeight="1" s="46">
      <c r="A168" s="13" t="inlineStr">
        <is>
          <t>боевой топор (эксперт)</t>
        </is>
      </c>
      <c r="B168" s="52" t="n">
        <v>27693</v>
      </c>
      <c r="C168" s="9" t="n">
        <v>0</v>
      </c>
      <c r="D168" s="9" t="n">
        <v>70</v>
      </c>
      <c r="E168" s="10" t="inlineStr">
        <is>
          <t>0.70</t>
        </is>
      </c>
      <c r="F168" s="12" t="n">
        <v>7.6</v>
      </c>
      <c r="G168" s="18" t="n">
        <v>11996</v>
      </c>
      <c r="H168" s="12" t="n">
        <v>15697</v>
      </c>
      <c r="I168" s="6" t="n"/>
      <c r="J168" s="6">
        <f>IF((B168*0.935 - F168*500) / (1.025*(1+$P$2/100)) &lt;= F168*500/0.15,ROUND(MAX(0, (B168*0.935 - F168*500) / (1.025*(1+$P$2/100))),0),ROUND(MAX(0, B168*0.935 / (1.175*(1+$P$2/100))),0))</f>
        <v/>
      </c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3.5" customHeight="1" s="46">
      <c r="A169" s="14" t="inlineStr">
        <is>
          <t>боевой топор (мастер)</t>
        </is>
      </c>
      <c r="B169" s="52" t="n">
        <v>41471</v>
      </c>
      <c r="C169" s="9" t="n">
        <v>0</v>
      </c>
      <c r="D169" s="9" t="n">
        <v>35</v>
      </c>
      <c r="E169" s="10" t="inlineStr">
        <is>
          <t>0.80</t>
        </is>
      </c>
      <c r="F169" s="12" t="n">
        <v>11.4</v>
      </c>
      <c r="G169" s="18" t="n">
        <v>24000</v>
      </c>
      <c r="H169" s="12" t="n">
        <v>17471</v>
      </c>
      <c r="I169" s="6" t="n"/>
      <c r="J169" s="6">
        <f>IF((B169*0.935 - F169*500) / (1.025*(1+$P$2/100)) &lt;= F169*500/0.15,ROUND(MAX(0, (B169*0.935 - F169*500) / (1.025*(1+$P$2/100))),0),ROUND(MAX(0, B169*0.935 / (1.175*(1+$P$2/100))),0))</f>
        <v/>
      </c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3.5" customHeight="1" s="46">
      <c r="A170" s="15" t="inlineStr">
        <is>
          <t>боевой топор (магистр)</t>
        </is>
      </c>
      <c r="B170" s="52" t="n">
        <v>152192</v>
      </c>
      <c r="C170" s="16" t="n">
        <v>0</v>
      </c>
      <c r="D170" s="16" t="n">
        <v>6</v>
      </c>
      <c r="E170" s="10" t="inlineStr">
        <is>
          <t>0.75</t>
        </is>
      </c>
      <c r="F170" s="12" t="n">
        <v>17.1</v>
      </c>
      <c r="G170" s="18" t="n">
        <v>129000</v>
      </c>
      <c r="H170" s="12" t="n">
        <v>23192</v>
      </c>
      <c r="I170" s="6" t="n"/>
      <c r="J170" s="6">
        <f>IF((B170*0.935 - F170*500) / (1.025*(1+$P$2/100)) &lt;= F170*500/0.15,ROUND(MAX(0, (B170*0.935 - F170*500) / (1.025*(1+$P$2/100))),0),ROUND(MAX(0, B170*0.935 / (1.175*(1+$P$2/100))),0))</f>
        <v/>
      </c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3.5" customHeight="1" s="46">
      <c r="A171" s="17" t="inlineStr">
        <is>
          <t>боевой топор (старейшина)</t>
        </is>
      </c>
      <c r="B171" s="52" t="n">
        <v>582998</v>
      </c>
      <c r="C171" s="16" t="n">
        <v>0</v>
      </c>
      <c r="D171" s="16" t="n">
        <v>3</v>
      </c>
      <c r="E171" s="10" t="inlineStr">
        <is>
          <t>0.75</t>
        </is>
      </c>
      <c r="F171" s="12" t="n">
        <v>25.6</v>
      </c>
      <c r="G171" s="18" t="n">
        <v>472988</v>
      </c>
      <c r="H171" s="12" t="n">
        <v>110010</v>
      </c>
      <c r="I171" s="6" t="n"/>
      <c r="J171" s="6">
        <f>IF((B171*0.935 - F171*500) / (1.025*(1+$P$2/100)) &lt;= F171*500/0.15,ROUND(MAX(0, (B171*0.935 - F171*500) / (1.025*(1+$P$2/100))),0),ROUND(MAX(0, B171*0.935 / (1.175*(1+$P$2/100))),0))</f>
        <v/>
      </c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3.5" customHeight="1" s="46">
      <c r="A172" s="7" t="inlineStr">
        <is>
          <t>большой топор (знаток)</t>
        </is>
      </c>
      <c r="B172" s="53" t="n">
        <v>10229</v>
      </c>
      <c r="C172" s="9" t="n">
        <v>0</v>
      </c>
      <c r="D172" s="9" t="n">
        <v>100</v>
      </c>
      <c r="E172" s="10" t="inlineStr">
        <is>
          <t>0.55</t>
        </is>
      </c>
      <c r="F172" s="12" t="n">
        <v>6.8</v>
      </c>
      <c r="G172" s="18" t="n">
        <v>3989</v>
      </c>
      <c r="H172" s="12" t="n">
        <v>6240</v>
      </c>
      <c r="I172" s="6" t="n"/>
      <c r="J172" s="6">
        <f>IF((B172*0.935 - F172*500) / (1.025*(1+$P$2/100)) &lt;= F172*500/0.15,ROUND(MAX(0, (B172*0.935 - F172*500) / (1.025*(1+$P$2/100))),0),ROUND(MAX(0, B172*0.935 / (1.175*(1+$P$2/100))),0))</f>
        <v/>
      </c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3.5" customHeight="1" s="46">
      <c r="A173" s="13" t="inlineStr">
        <is>
          <t>большой топор (эксперт)</t>
        </is>
      </c>
      <c r="B173" s="53" t="n">
        <v>23379</v>
      </c>
      <c r="C173" s="9" t="n">
        <v>0</v>
      </c>
      <c r="D173" s="9" t="n">
        <v>70</v>
      </c>
      <c r="E173" s="10" t="inlineStr">
        <is>
          <t>0.70</t>
        </is>
      </c>
      <c r="F173" s="12" t="n">
        <v>10.1</v>
      </c>
      <c r="G173" s="18" t="n">
        <v>14000</v>
      </c>
      <c r="H173" s="12" t="n">
        <v>9379</v>
      </c>
      <c r="I173" s="6" t="n"/>
      <c r="J173" s="6">
        <f>IF((B173*0.935 - F173*500) / (1.025*(1+$P$2/100)) &lt;= F173*500/0.15,ROUND(MAX(0, (B173*0.935 - F173*500) / (1.025*(1+$P$2/100))),0),ROUND(MAX(0, B173*0.935 / (1.175*(1+$P$2/100))),0))</f>
        <v/>
      </c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3.5" customHeight="1" s="46">
      <c r="A174" s="14" t="inlineStr">
        <is>
          <t>большой топор (мастер)</t>
        </is>
      </c>
      <c r="B174" s="53" t="n">
        <v>60712</v>
      </c>
      <c r="C174" s="9" t="n">
        <v>0</v>
      </c>
      <c r="D174" s="9" t="n">
        <v>35</v>
      </c>
      <c r="E174" s="10" t="inlineStr">
        <is>
          <t>0.80</t>
        </is>
      </c>
      <c r="F174" s="12" t="n">
        <v>15.2</v>
      </c>
      <c r="G174" s="18" t="n">
        <v>37497</v>
      </c>
      <c r="H174" s="12" t="n">
        <v>23215</v>
      </c>
      <c r="I174" s="6" t="n"/>
      <c r="J174" s="6">
        <f>IF((B174*0.935 - F174*500) / (1.025*(1+$P$2/100)) &lt;= F174*500/0.15,ROUND(MAX(0, (B174*0.935 - F174*500) / (1.025*(1+$P$2/100))),0),ROUND(MAX(0, B174*0.935 / (1.175*(1+$P$2/100))),0))</f>
        <v/>
      </c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3.5" customHeight="1" s="46">
      <c r="A175" s="15" t="inlineStr">
        <is>
          <t>большой топор (магистр)</t>
        </is>
      </c>
      <c r="B175" s="53" t="n">
        <v>196974</v>
      </c>
      <c r="C175" s="16" t="n">
        <v>0</v>
      </c>
      <c r="D175" s="16" t="n">
        <v>6</v>
      </c>
      <c r="E175" s="10" t="inlineStr">
        <is>
          <t>0.75</t>
        </is>
      </c>
      <c r="F175" s="12" t="n">
        <v>22.8</v>
      </c>
      <c r="G175" s="18" t="n">
        <v>155976</v>
      </c>
      <c r="H175" s="12" t="n">
        <v>40998</v>
      </c>
      <c r="I175" s="6" t="n"/>
      <c r="J175" s="6">
        <f>IF((B175*0.935 - F175*500) / (1.025*(1+$P$2/100)) &lt;= F175*500/0.15,ROUND(MAX(0, (B175*0.935 - F175*500) / (1.025*(1+$P$2/100))),0),ROUND(MAX(0, B175*0.935 / (1.175*(1+$P$2/100))),0))</f>
        <v/>
      </c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3.5" customHeight="1" s="46">
      <c r="A176" s="17" t="inlineStr">
        <is>
          <t>большой топор (старейшина)</t>
        </is>
      </c>
      <c r="B176" s="53" t="n">
        <v>612213</v>
      </c>
      <c r="C176" s="16" t="n">
        <v>0</v>
      </c>
      <c r="D176" s="16" t="n">
        <v>3</v>
      </c>
      <c r="E176" s="10" t="inlineStr">
        <is>
          <t>0.75</t>
        </is>
      </c>
      <c r="F176" s="12" t="n">
        <v>34.2</v>
      </c>
      <c r="G176" s="18" t="n">
        <v>521895</v>
      </c>
      <c r="H176" s="12" t="n">
        <v>90318</v>
      </c>
      <c r="I176" s="6" t="n"/>
      <c r="J176" s="6">
        <f>IF((B176*0.935 - F176*500) / (1.025*(1+$P$2/100)) &lt;= F176*500/0.15,ROUND(MAX(0, (B176*0.935 - F176*500) / (1.025*(1+$P$2/100))),0),ROUND(MAX(0, B176*0.935 / (1.175*(1+$P$2/100))),0))</f>
        <v/>
      </c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3.5" customHeight="1" s="46">
      <c r="A177" s="7" t="inlineStr">
        <is>
          <t>алебарда (знаток)</t>
        </is>
      </c>
      <c r="B177" s="49" t="n">
        <v>9905</v>
      </c>
      <c r="C177" s="9" t="n">
        <v>0</v>
      </c>
      <c r="D177" s="9" t="n">
        <v>100</v>
      </c>
      <c r="E177" s="10" t="inlineStr">
        <is>
          <t>0.55</t>
        </is>
      </c>
      <c r="F177" s="12" t="n">
        <v>6.8</v>
      </c>
      <c r="G177" s="18" t="n">
        <v>5979</v>
      </c>
      <c r="H177" s="12" t="n">
        <v>3926</v>
      </c>
      <c r="I177" s="6" t="n"/>
      <c r="J177" s="6">
        <f>IF((B177*0.935 - F177*500) / (1.025*(1+$P$2/100)) &lt;= F177*500/0.15,ROUND(MAX(0, (B177*0.935 - F177*500) / (1.025*(1+$P$2/100))),0),ROUND(MAX(0, B177*0.935 / (1.175*(1+$P$2/100))),0))</f>
        <v/>
      </c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3.5" customHeight="1" s="46">
      <c r="A178" s="13" t="inlineStr">
        <is>
          <t>алебарда (эксперт)</t>
        </is>
      </c>
      <c r="B178" s="49" t="n">
        <v>22193</v>
      </c>
      <c r="C178" s="9" t="n">
        <v>0</v>
      </c>
      <c r="D178" s="9" t="n">
        <v>70</v>
      </c>
      <c r="E178" s="10" t="inlineStr">
        <is>
          <t>0.70</t>
        </is>
      </c>
      <c r="F178" s="12" t="n">
        <v>10.1</v>
      </c>
      <c r="G178" s="18" t="n">
        <v>12998</v>
      </c>
      <c r="H178" s="12" t="n">
        <v>9195</v>
      </c>
      <c r="I178" s="6" t="n"/>
      <c r="J178" s="6">
        <f>IF((B178*0.935 - F178*500) / (1.025*(1+$P$2/100)) &lt;= F178*500/0.15,ROUND(MAX(0, (B178*0.935 - F178*500) / (1.025*(1+$P$2/100))),0),ROUND(MAX(0, B178*0.935 / (1.175*(1+$P$2/100))),0))</f>
        <v/>
      </c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3.5" customHeight="1" s="46">
      <c r="A179" s="14" t="inlineStr">
        <is>
          <t>алебарда (мастер)</t>
        </is>
      </c>
      <c r="B179" s="49" t="n">
        <v>55082</v>
      </c>
      <c r="C179" s="9" t="n">
        <v>0</v>
      </c>
      <c r="D179" s="9" t="n">
        <v>35</v>
      </c>
      <c r="E179" s="10" t="inlineStr">
        <is>
          <t>0.80</t>
        </is>
      </c>
      <c r="F179" s="12" t="n">
        <v>15.2</v>
      </c>
      <c r="G179" s="18" t="n">
        <v>34443</v>
      </c>
      <c r="H179" s="12" t="n">
        <v>20639</v>
      </c>
      <c r="I179" s="6" t="n"/>
      <c r="J179" s="6">
        <f>IF((B179*0.935 - F179*500) / (1.025*(1+$P$2/100)) &lt;= F179*500/0.15,ROUND(MAX(0, (B179*0.935 - F179*500) / (1.025*(1+$P$2/100))),0),ROUND(MAX(0, B179*0.935 / (1.175*(1+$P$2/100))),0))</f>
        <v/>
      </c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3.5" customHeight="1" s="46">
      <c r="A180" s="15" t="inlineStr">
        <is>
          <t>алебарда (магистр)</t>
        </is>
      </c>
      <c r="B180" s="49" t="n">
        <v>183409</v>
      </c>
      <c r="C180" s="16" t="n">
        <v>0</v>
      </c>
      <c r="D180" s="16" t="n">
        <v>6</v>
      </c>
      <c r="E180" s="10" t="inlineStr">
        <is>
          <t>0.75</t>
        </is>
      </c>
      <c r="F180" s="12" t="n">
        <v>22.8</v>
      </c>
      <c r="G180" s="18" t="n">
        <v>144998</v>
      </c>
      <c r="H180" s="12" t="n">
        <v>38411</v>
      </c>
      <c r="I180" s="6" t="n"/>
      <c r="J180" s="6">
        <f>IF((B180*0.935 - F180*500) / (1.025*(1+$P$2/100)) &lt;= F180*500/0.15,ROUND(MAX(0, (B180*0.935 - F180*500) / (1.025*(1+$P$2/100))),0),ROUND(MAX(0, B180*0.935 / (1.175*(1+$P$2/100))),0))</f>
        <v/>
      </c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3.5" customHeight="1" s="46">
      <c r="A181" s="17" t="inlineStr">
        <is>
          <t>алебарда (старейшина)</t>
        </is>
      </c>
      <c r="B181" s="49" t="n">
        <v>577764</v>
      </c>
      <c r="C181" s="16" t="n">
        <v>0</v>
      </c>
      <c r="D181" s="16" t="n">
        <v>3</v>
      </c>
      <c r="E181" s="10" t="inlineStr">
        <is>
          <t>0.75</t>
        </is>
      </c>
      <c r="F181" s="12" t="n">
        <v>34.2</v>
      </c>
      <c r="G181" s="18" t="n">
        <v>469990</v>
      </c>
      <c r="H181" s="12" t="n">
        <v>107774</v>
      </c>
      <c r="I181" s="6" t="n"/>
      <c r="J181" s="6">
        <f>IF((B181*0.935 - F181*500) / (1.025*(1+$P$2/100)) &lt;= F181*500/0.15,ROUND(MAX(0, (B181*0.935 - F181*500) / (1.025*(1+$P$2/100))),0),ROUND(MAX(0, B181*0.935 / (1.175*(1+$P$2/100))),0))</f>
        <v/>
      </c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2.75" customHeight="1" s="46">
      <c r="A182" s="7" t="inlineStr">
        <is>
          <t>кинжал (знаток)</t>
        </is>
      </c>
      <c r="B182" s="55" t="n">
        <v>9756</v>
      </c>
      <c r="C182" s="9" t="n">
        <v>0</v>
      </c>
      <c r="D182" s="9" t="n">
        <v>100</v>
      </c>
      <c r="E182" s="10" t="inlineStr">
        <is>
          <t>0.55</t>
        </is>
      </c>
      <c r="F182" s="12" t="n">
        <v>5.1</v>
      </c>
      <c r="G182" s="18" t="n">
        <v>3829</v>
      </c>
      <c r="H182" s="12" t="n">
        <v>5927</v>
      </c>
      <c r="I182" s="6" t="n"/>
      <c r="J182" s="6">
        <f>IF((B182*0.935 - F182*500) / (1.025*(1+$P$2/100)) &lt;= F182*500/0.15,ROUND(MAX(0, (B182*0.935 - F182*500) / (1.025*(1+$P$2/100))),0),ROUND(MAX(0, B182*0.935 / (1.175*(1+$P$2/100))),0))</f>
        <v/>
      </c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2.75" customHeight="1" s="46">
      <c r="A183" s="13" t="inlineStr">
        <is>
          <t>кинжал (эксперт)</t>
        </is>
      </c>
      <c r="B183" s="55" t="n">
        <v>20791</v>
      </c>
      <c r="C183" s="9" t="n">
        <v>0</v>
      </c>
      <c r="D183" s="9" t="n">
        <v>70</v>
      </c>
      <c r="E183" s="10" t="inlineStr">
        <is>
          <t>0.70</t>
        </is>
      </c>
      <c r="F183" s="12" t="n">
        <v>7.6</v>
      </c>
      <c r="G183" s="18" t="n">
        <v>10999</v>
      </c>
      <c r="H183" s="12" t="n">
        <v>9792</v>
      </c>
      <c r="I183" s="6" t="n"/>
      <c r="J183" s="6">
        <f>IF((B183*0.935 - F183*500) / (1.025*(1+$P$2/100)) &lt;= F183*500/0.15,ROUND(MAX(0, (B183*0.935 - F183*500) / (1.025*(1+$P$2/100))),0),ROUND(MAX(0, B183*0.935 / (1.175*(1+$P$2/100))),0))</f>
        <v/>
      </c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2.75" customHeight="1" s="46">
      <c r="A184" s="14" t="inlineStr">
        <is>
          <t>кинжал (мастер)</t>
        </is>
      </c>
      <c r="B184" s="55" t="n">
        <v>69000</v>
      </c>
      <c r="C184" s="9" t="n">
        <v>0</v>
      </c>
      <c r="D184" s="9" t="n">
        <v>35</v>
      </c>
      <c r="E184" s="10" t="inlineStr">
        <is>
          <t>0.80</t>
        </is>
      </c>
      <c r="F184" s="12" t="n">
        <v>11.4</v>
      </c>
      <c r="G184" s="18" t="n">
        <v>39999</v>
      </c>
      <c r="H184" s="12" t="n">
        <v>29001</v>
      </c>
      <c r="I184" s="6" t="n"/>
      <c r="J184" s="6">
        <f>IF((B184*0.935 - F184*500) / (1.025*(1+$P$2/100)) &lt;= F184*500/0.15,ROUND(MAX(0, (B184*0.935 - F184*500) / (1.025*(1+$P$2/100))),0),ROUND(MAX(0, B184*0.935 / (1.175*(1+$P$2/100))),0))</f>
        <v/>
      </c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2.75" customHeight="1" s="46">
      <c r="A185" s="15" t="inlineStr">
        <is>
          <t>кинжал (магистр)</t>
        </is>
      </c>
      <c r="B185" s="55" t="n">
        <v>192985</v>
      </c>
      <c r="C185" s="16" t="n">
        <v>0</v>
      </c>
      <c r="D185" s="16" t="n">
        <v>6</v>
      </c>
      <c r="E185" s="10" t="inlineStr">
        <is>
          <t>0.75</t>
        </is>
      </c>
      <c r="F185" s="12" t="n">
        <v>17.1</v>
      </c>
      <c r="G185" s="18" t="n">
        <v>154997</v>
      </c>
      <c r="H185" s="12" t="n">
        <v>37988</v>
      </c>
      <c r="I185" s="6" t="n"/>
      <c r="J185" s="6">
        <f>IF((B185*0.935 - F185*500) / (1.025*(1+$P$2/100)) &lt;= F185*500/0.15,ROUND(MAX(0, (B185*0.935 - F185*500) / (1.025*(1+$P$2/100))),0),ROUND(MAX(0, B185*0.935 / (1.175*(1+$P$2/100))),0))</f>
        <v/>
      </c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2.75" customHeight="1" s="46">
      <c r="A186" s="17" t="inlineStr">
        <is>
          <t>кинжал (старейшина)</t>
        </is>
      </c>
      <c r="B186" s="55" t="n">
        <v>504959</v>
      </c>
      <c r="C186" s="16" t="n">
        <v>0</v>
      </c>
      <c r="D186" s="16" t="n">
        <v>3</v>
      </c>
      <c r="E186" s="10" t="inlineStr">
        <is>
          <t>0.75</t>
        </is>
      </c>
      <c r="F186" s="12" t="n">
        <v>25.6</v>
      </c>
      <c r="G186" s="18" t="n">
        <v>448000</v>
      </c>
      <c r="H186" s="12" t="n">
        <v>56959</v>
      </c>
      <c r="I186" s="6" t="n"/>
      <c r="J186" s="6">
        <f>IF((B186*0.935 - F186*500) / (1.025*(1+$P$2/100)) &lt;= F186*500/0.15,ROUND(MAX(0, (B186*0.935 - F186*500) / (1.025*(1+$P$2/100))),0),ROUND(MAX(0, B186*0.935 / (1.175*(1+$P$2/100))),0))</f>
        <v/>
      </c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2.75" customHeight="1" s="46">
      <c r="A187" s="7" t="inlineStr">
        <is>
          <t>парные кинжалы (знаток)</t>
        </is>
      </c>
      <c r="B187" s="56" t="n">
        <v>12423</v>
      </c>
      <c r="C187" s="9" t="n">
        <v>0</v>
      </c>
      <c r="D187" s="9" t="n">
        <v>100</v>
      </c>
      <c r="E187" s="10" t="inlineStr">
        <is>
          <t>0.55</t>
        </is>
      </c>
      <c r="F187" s="12" t="n">
        <v>6.8</v>
      </c>
      <c r="G187" s="18" t="n">
        <v>5391</v>
      </c>
      <c r="H187" s="12" t="n">
        <v>7032</v>
      </c>
      <c r="I187" s="6" t="n"/>
      <c r="J187" s="6">
        <f>IF((B187*0.935 - F187*500) / (1.025*(1+$P$2/100)) &lt;= F187*500/0.15,ROUND(MAX(0, (B187*0.935 - F187*500) / (1.025*(1+$P$2/100))),0),ROUND(MAX(0, B187*0.935 / (1.175*(1+$P$2/100))),0))</f>
        <v/>
      </c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2.75" customHeight="1" s="46">
      <c r="A188" s="13" t="inlineStr">
        <is>
          <t>парные кинжалы (эксперт)</t>
        </is>
      </c>
      <c r="B188" s="56" t="n">
        <v>26898</v>
      </c>
      <c r="C188" s="9" t="n">
        <v>0</v>
      </c>
      <c r="D188" s="9" t="n">
        <v>70</v>
      </c>
      <c r="E188" s="10" t="inlineStr">
        <is>
          <t>0.70</t>
        </is>
      </c>
      <c r="F188" s="12" t="n">
        <v>10.1</v>
      </c>
      <c r="G188" s="18" t="n">
        <v>15000</v>
      </c>
      <c r="H188" s="12" t="n">
        <v>11898</v>
      </c>
      <c r="I188" s="6" t="n"/>
      <c r="J188" s="6">
        <f>IF((B188*0.935 - F188*500) / (1.025*(1+$P$2/100)) &lt;= F188*500/0.15,ROUND(MAX(0, (B188*0.935 - F188*500) / (1.025*(1+$P$2/100))),0),ROUND(MAX(0, B188*0.935 / (1.175*(1+$P$2/100))),0))</f>
        <v/>
      </c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2.75" customHeight="1" s="46">
      <c r="A189" s="14" t="inlineStr">
        <is>
          <t>парные кинжалы (мастер)</t>
        </is>
      </c>
      <c r="B189" s="56" t="n">
        <v>81590</v>
      </c>
      <c r="C189" s="9" t="n">
        <v>0</v>
      </c>
      <c r="D189" s="9" t="n">
        <v>35</v>
      </c>
      <c r="E189" s="10" t="inlineStr">
        <is>
          <t>0.80</t>
        </is>
      </c>
      <c r="F189" s="12" t="n">
        <v>15.2</v>
      </c>
      <c r="G189" s="18" t="n">
        <v>67920</v>
      </c>
      <c r="H189" s="12" t="n">
        <v>13670</v>
      </c>
      <c r="I189" s="6" t="n"/>
      <c r="J189" s="6">
        <f>IF((B189*0.935 - F189*500) / (1.025*(1+$P$2/100)) &lt;= F189*500/0.15,ROUND(MAX(0, (B189*0.935 - F189*500) / (1.025*(1+$P$2/100))),0),ROUND(MAX(0, B189*0.935 / (1.175*(1+$P$2/100))),0))</f>
        <v/>
      </c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2.75" customHeight="1" s="46">
      <c r="A190" s="15" t="inlineStr">
        <is>
          <t>парные кинжалы (магистр)</t>
        </is>
      </c>
      <c r="B190" s="56" t="n">
        <v>219991</v>
      </c>
      <c r="C190" s="16" t="n">
        <v>0</v>
      </c>
      <c r="D190" s="16" t="n">
        <v>6</v>
      </c>
      <c r="E190" s="10" t="inlineStr">
        <is>
          <t>0.75</t>
        </is>
      </c>
      <c r="F190" s="12" t="n">
        <v>22.8</v>
      </c>
      <c r="G190" s="18" t="n">
        <v>181989</v>
      </c>
      <c r="H190" s="12" t="n">
        <v>38002</v>
      </c>
      <c r="I190" s="6" t="n"/>
      <c r="J190" s="6">
        <f>IF((B190*0.935 - F190*500) / (1.025*(1+$P$2/100)) &lt;= F190*500/0.15,ROUND(MAX(0, (B190*0.935 - F190*500) / (1.025*(1+$P$2/100))),0),ROUND(MAX(0, B190*0.935 / (1.175*(1+$P$2/100))),0))</f>
        <v/>
      </c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2.75" customHeight="1" s="46">
      <c r="A191" s="17" t="inlineStr">
        <is>
          <t>парные кинжалы (старейшина)</t>
        </is>
      </c>
      <c r="B191" s="56" t="n">
        <v>742985</v>
      </c>
      <c r="C191" s="16" t="n">
        <v>0</v>
      </c>
      <c r="D191" s="16" t="n">
        <v>3</v>
      </c>
      <c r="E191" s="10" t="inlineStr">
        <is>
          <t>0.75</t>
        </is>
      </c>
      <c r="F191" s="12" t="n">
        <v>34.2</v>
      </c>
      <c r="G191" s="18" t="n">
        <v>628988</v>
      </c>
      <c r="H191" s="12" t="n">
        <v>113997</v>
      </c>
      <c r="I191" s="6" t="n"/>
      <c r="J191" s="6">
        <f>IF((B191*0.935 - F191*500) / (1.025*(1+$P$2/100)) &lt;= F191*500/0.15,ROUND(MAX(0, (B191*0.935 - F191*500) / (1.025*(1+$P$2/100))),0),ROUND(MAX(0, B191*0.935 / (1.175*(1+$P$2/100))),0))</f>
        <v/>
      </c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2.75" customHeight="1" s="46">
      <c r="A192" s="7" t="inlineStr">
        <is>
          <t>когти (знаток)</t>
        </is>
      </c>
      <c r="B192" s="57" t="n">
        <v>15232</v>
      </c>
      <c r="C192" s="9" t="n">
        <v>0</v>
      </c>
      <c r="D192" s="9" t="n">
        <v>100</v>
      </c>
      <c r="E192" s="10" t="inlineStr">
        <is>
          <t>0.55</t>
        </is>
      </c>
      <c r="F192" s="12" t="n">
        <v>6.8</v>
      </c>
      <c r="G192" s="18" t="n">
        <v>4999</v>
      </c>
      <c r="H192" s="12" t="n">
        <v>10233</v>
      </c>
      <c r="I192" s="6" t="n"/>
      <c r="J192" s="6">
        <f>IF((B192*0.935 - F192*500) / (1.025*(1+$P$2/100)) &lt;= F192*500/0.15,ROUND(MAX(0, (B192*0.935 - F192*500) / (1.025*(1+$P$2/100))),0),ROUND(MAX(0, B192*0.935 / (1.175*(1+$P$2/100))),0))</f>
        <v/>
      </c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2.75" customHeight="1" s="46">
      <c r="A193" s="13" t="inlineStr">
        <is>
          <t>когти (эксперт)</t>
        </is>
      </c>
      <c r="B193" s="57" t="n">
        <v>29924</v>
      </c>
      <c r="C193" s="9" t="n">
        <v>0</v>
      </c>
      <c r="D193" s="9" t="n">
        <v>70</v>
      </c>
      <c r="E193" s="10" t="inlineStr">
        <is>
          <t>0.70</t>
        </is>
      </c>
      <c r="F193" s="12" t="n">
        <v>10.1</v>
      </c>
      <c r="G193" s="18" t="n">
        <v>17996</v>
      </c>
      <c r="H193" s="12" t="n">
        <v>11928</v>
      </c>
      <c r="I193" s="6" t="n"/>
      <c r="J193" s="6">
        <f>IF((B193*0.935 - F193*500) / (1.025*(1+$P$2/100)) &lt;= F193*500/0.15,ROUND(MAX(0, (B193*0.935 - F193*500) / (1.025*(1+$P$2/100))),0),ROUND(MAX(0, B193*0.935 / (1.175*(1+$P$2/100))),0))</f>
        <v/>
      </c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2.75" customHeight="1" s="46">
      <c r="A194" s="14" t="inlineStr">
        <is>
          <t>когти (мастер)</t>
        </is>
      </c>
      <c r="B194" s="57" t="n">
        <v>89977</v>
      </c>
      <c r="C194" s="9" t="n">
        <v>0</v>
      </c>
      <c r="D194" s="9" t="n">
        <v>35</v>
      </c>
      <c r="E194" s="10" t="inlineStr">
        <is>
          <t>0.80</t>
        </is>
      </c>
      <c r="F194" s="12" t="n">
        <v>15.2</v>
      </c>
      <c r="G194" s="18" t="n">
        <v>68000</v>
      </c>
      <c r="H194" s="12" t="n">
        <v>21977</v>
      </c>
      <c r="I194" s="6" t="n"/>
      <c r="J194" s="6">
        <f>IF((B194*0.935 - F194*500) / (1.025*(1+$P$2/100)) &lt;= F194*500/0.15,ROUND(MAX(0, (B194*0.935 - F194*500) / (1.025*(1+$P$2/100))),0),ROUND(MAX(0, B194*0.935 / (1.175*(1+$P$2/100))),0))</f>
        <v/>
      </c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2.75" customHeight="1" s="46">
      <c r="A195" s="15" t="inlineStr">
        <is>
          <t>когти (магистр)</t>
        </is>
      </c>
      <c r="B195" s="57" t="n">
        <v>260892</v>
      </c>
      <c r="C195" s="16" t="n">
        <v>0</v>
      </c>
      <c r="D195" s="16" t="n">
        <v>6</v>
      </c>
      <c r="E195" s="10" t="inlineStr">
        <is>
          <t>0.75</t>
        </is>
      </c>
      <c r="F195" s="12" t="n">
        <v>22.8</v>
      </c>
      <c r="G195" s="18" t="n">
        <v>200393</v>
      </c>
      <c r="H195" s="12" t="n">
        <v>60499</v>
      </c>
      <c r="I195" s="6" t="n"/>
      <c r="J195" s="6">
        <f>IF((B195*0.935 - F195*500) / (1.025*(1+$P$2/100)) &lt;= F195*500/0.15,ROUND(MAX(0, (B195*0.935 - F195*500) / (1.025*(1+$P$2/100))),0),ROUND(MAX(0, B195*0.935 / (1.175*(1+$P$2/100))),0))</f>
        <v/>
      </c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2.75" customHeight="1" s="46">
      <c r="A196" s="17" t="inlineStr">
        <is>
          <t>когти (старейшина)</t>
        </is>
      </c>
      <c r="B196" s="57" t="n">
        <v>696653</v>
      </c>
      <c r="C196" s="16" t="n">
        <v>0</v>
      </c>
      <c r="D196" s="16" t="n">
        <v>3</v>
      </c>
      <c r="E196" s="10" t="inlineStr">
        <is>
          <t>0.75</t>
        </is>
      </c>
      <c r="F196" s="12" t="n">
        <v>34.2</v>
      </c>
      <c r="G196" s="18" t="n">
        <v>559960</v>
      </c>
      <c r="H196" s="12" t="n">
        <v>136693</v>
      </c>
      <c r="I196" s="6" t="n"/>
      <c r="J196" s="6">
        <f>IF((B196*0.935 - F196*500) / (1.025*(1+$P$2/100)) &lt;= F196*500/0.15,ROUND(MAX(0, (B196*0.935 - F196*500) / (1.025*(1+$P$2/100))),0),ROUND(MAX(0, B196*0.935 / (1.175*(1+$P$2/100))),0))</f>
        <v/>
      </c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2.75" customHeight="1" s="46">
      <c r="A197" s="15" t="inlineStr">
        <is>
          <t>молот (знаток)</t>
        </is>
      </c>
      <c r="B197" s="58" t="n">
        <v>0</v>
      </c>
      <c r="C197" s="9" t="n">
        <v>0</v>
      </c>
      <c r="D197" s="9" t="n">
        <v>0</v>
      </c>
      <c r="E197" s="10" t="inlineStr">
        <is>
          <t>0.55</t>
        </is>
      </c>
      <c r="F197" s="12" t="n">
        <v>5.1</v>
      </c>
      <c r="G197" s="18" t="n">
        <v>0</v>
      </c>
      <c r="H197" s="12" t="n">
        <v>0</v>
      </c>
      <c r="I197" s="6" t="n"/>
      <c r="J197" s="6">
        <f>IF((B197*0.935 - F197*500) / (1.025*(1+$P$2/100)) &lt;= F197*500/0.15,ROUND(MAX(0, (B197*0.935 - F197*500) / (1.025*(1+$P$2/100))),0),ROUND(MAX(0, B197*0.935 / (1.175*(1+$P$2/100))),0))</f>
        <v/>
      </c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2.75" customHeight="1" s="46">
      <c r="A198" s="15" t="inlineStr">
        <is>
          <t>молот (эксперт)</t>
        </is>
      </c>
      <c r="B198" s="58" t="n">
        <v>0</v>
      </c>
      <c r="C198" s="9" t="n">
        <v>0</v>
      </c>
      <c r="D198" s="9" t="n">
        <v>0</v>
      </c>
      <c r="E198" s="10" t="inlineStr">
        <is>
          <t>0.70</t>
        </is>
      </c>
      <c r="F198" s="12" t="n">
        <v>7.6</v>
      </c>
      <c r="G198" s="18" t="n">
        <v>0</v>
      </c>
      <c r="H198" s="12" t="n">
        <v>0</v>
      </c>
      <c r="I198" s="6" t="n"/>
      <c r="J198" s="6">
        <f>IF((B198*0.935 - F198*500) / (1.025*(1+$P$2/100)) &lt;= F198*500/0.15,ROUND(MAX(0, (B198*0.935 - F198*500) / (1.025*(1+$P$2/100))),0),ROUND(MAX(0, B198*0.935 / (1.175*(1+$P$2/100))),0))</f>
        <v/>
      </c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2.75" customHeight="1" s="46">
      <c r="A199" s="15" t="inlineStr">
        <is>
          <t>молот (мастер)</t>
        </is>
      </c>
      <c r="B199" s="58" t="n">
        <v>0</v>
      </c>
      <c r="C199" s="9" t="n">
        <v>0</v>
      </c>
      <c r="D199" s="9" t="n">
        <v>0</v>
      </c>
      <c r="E199" s="10" t="inlineStr">
        <is>
          <t>0.80</t>
        </is>
      </c>
      <c r="F199" s="12" t="n">
        <v>11.4</v>
      </c>
      <c r="G199" s="18" t="n">
        <v>0</v>
      </c>
      <c r="H199" s="12" t="n">
        <v>0</v>
      </c>
      <c r="I199" s="6" t="n"/>
      <c r="J199" s="6">
        <f>IF((B199*0.935 - F199*500) / (1.025*(1+$P$2/100)) &lt;= F199*500/0.15,ROUND(MAX(0, (B199*0.935 - F199*500) / (1.025*(1+$P$2/100))),0),ROUND(MAX(0, B199*0.935 / (1.175*(1+$P$2/100))),0))</f>
        <v/>
      </c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2.75" customHeight="1" s="46">
      <c r="A200" s="15" t="inlineStr">
        <is>
          <t>молот (магистр)</t>
        </is>
      </c>
      <c r="B200" s="58" t="n">
        <v>0</v>
      </c>
      <c r="C200" s="30" t="n">
        <v>0</v>
      </c>
      <c r="D200" s="16" t="n">
        <v>0</v>
      </c>
      <c r="E200" s="10" t="inlineStr">
        <is>
          <t>0.75</t>
        </is>
      </c>
      <c r="F200" s="12" t="n">
        <v>17.1</v>
      </c>
      <c r="G200" s="18" t="n">
        <v>0</v>
      </c>
      <c r="H200" s="12" t="n">
        <v>0</v>
      </c>
      <c r="I200" s="6" t="n"/>
      <c r="J200" s="6">
        <f>IF((B200*0.935 - F200*500) / (1.025*(1+$P$2/100)) &lt;= F200*500/0.15,ROUND(MAX(0, (B200*0.935 - F200*500) / (1.025*(1+$P$2/100))),0),ROUND(MAX(0, B200*0.935 / (1.175*(1+$P$2/100))),0))</f>
        <v/>
      </c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2.75" customHeight="1" s="46">
      <c r="A201" s="15" t="inlineStr">
        <is>
          <t>молот (старейшина)</t>
        </is>
      </c>
      <c r="B201" s="58" t="n">
        <v>0</v>
      </c>
      <c r="C201" s="30" t="n">
        <v>0</v>
      </c>
      <c r="D201" s="16" t="n">
        <v>3</v>
      </c>
      <c r="E201" s="10" t="inlineStr">
        <is>
          <t>0.75</t>
        </is>
      </c>
      <c r="F201" s="12" t="n">
        <v>25.6</v>
      </c>
      <c r="G201" s="18" t="n">
        <v>0</v>
      </c>
      <c r="H201" s="12" t="n">
        <v>0</v>
      </c>
      <c r="I201" s="6" t="n"/>
      <c r="J201" s="6">
        <f>IF((B201*0.935 - F201*500) / (1.025*(1+$P$2/100)) &lt;= F201*500/0.15,ROUND(MAX(0, (B201*0.935 - F201*500) / (1.025*(1+$P$2/100))),0),ROUND(MAX(0, B201*0.935 / (1.175*(1+$P$2/100))),0))</f>
        <v/>
      </c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2.75" customHeight="1" s="46">
      <c r="A202" s="7" t="inlineStr">
        <is>
          <t>чекан (знаток)</t>
        </is>
      </c>
      <c r="B202" s="59" t="n">
        <v>15579</v>
      </c>
      <c r="C202" s="9" t="n">
        <v>0</v>
      </c>
      <c r="D202" s="9" t="n">
        <v>100</v>
      </c>
      <c r="E202" s="10" t="inlineStr">
        <is>
          <t>0.55</t>
        </is>
      </c>
      <c r="F202" s="12" t="n">
        <v>6.8</v>
      </c>
      <c r="G202" s="18" t="n">
        <v>5000</v>
      </c>
      <c r="H202" s="12" t="n">
        <v>10579</v>
      </c>
      <c r="I202" s="6" t="n"/>
      <c r="J202" s="6">
        <f>IF((B202*0.935 - F202*500) / (1.025*(1+$P$2/100)) &lt;= F202*500/0.15,ROUND(MAX(0, (B202*0.935 - F202*500) / (1.025*(1+$P$2/100))),0),ROUND(MAX(0, B202*0.935 / (1.175*(1+$P$2/100))),0))</f>
        <v/>
      </c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2.75" customHeight="1" s="46">
      <c r="A203" s="13" t="inlineStr">
        <is>
          <t>чекан (эксперт)</t>
        </is>
      </c>
      <c r="B203" s="59" t="n">
        <v>31088</v>
      </c>
      <c r="C203" s="9" t="n">
        <v>0</v>
      </c>
      <c r="D203" s="9" t="n">
        <v>70</v>
      </c>
      <c r="E203" s="10" t="inlineStr">
        <is>
          <t>0.70</t>
        </is>
      </c>
      <c r="F203" s="12" t="n">
        <v>10.1</v>
      </c>
      <c r="G203" s="18" t="n">
        <v>14000</v>
      </c>
      <c r="H203" s="12" t="n">
        <v>17088</v>
      </c>
      <c r="I203" s="6" t="n"/>
      <c r="J203" s="6">
        <f>IF((B203*0.935 - F203*500) / (1.025*(1+$P$2/100)) &lt;= F203*500/0.15,ROUND(MAX(0, (B203*0.935 - F203*500) / (1.025*(1+$P$2/100))),0),ROUND(MAX(0, B203*0.935 / (1.175*(1+$P$2/100))),0))</f>
        <v/>
      </c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2.75" customHeight="1" s="46">
      <c r="A204" s="14" t="inlineStr">
        <is>
          <t>чекан (мастер)</t>
        </is>
      </c>
      <c r="B204" s="59" t="n">
        <v>126976</v>
      </c>
      <c r="C204" s="9" t="n">
        <v>0</v>
      </c>
      <c r="D204" s="9" t="n">
        <v>35</v>
      </c>
      <c r="E204" s="10" t="inlineStr">
        <is>
          <t>0.80</t>
        </is>
      </c>
      <c r="F204" s="12" t="n">
        <v>15.2</v>
      </c>
      <c r="G204" s="18" t="n">
        <v>74994</v>
      </c>
      <c r="H204" s="12" t="n">
        <v>51982</v>
      </c>
      <c r="I204" s="6" t="n"/>
      <c r="J204" s="6">
        <f>IF((B204*0.935 - F204*500) / (1.025*(1+$P$2/100)) &lt;= F204*500/0.15,ROUND(MAX(0, (B204*0.935 - F204*500) / (1.025*(1+$P$2/100))),0),ROUND(MAX(0, B204*0.935 / (1.175*(1+$P$2/100))),0))</f>
        <v/>
      </c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2.75" customHeight="1" s="46">
      <c r="A205" s="15" t="inlineStr">
        <is>
          <t>чекан (магистр)</t>
        </is>
      </c>
      <c r="B205" s="59" t="n">
        <v>239983</v>
      </c>
      <c r="C205" s="16" t="n">
        <v>0</v>
      </c>
      <c r="D205" s="16" t="n">
        <v>6</v>
      </c>
      <c r="E205" s="10" t="inlineStr">
        <is>
          <t>0.75</t>
        </is>
      </c>
      <c r="F205" s="12" t="n">
        <v>22.8</v>
      </c>
      <c r="G205" s="18" t="n">
        <v>199995</v>
      </c>
      <c r="H205" s="12" t="n">
        <v>39988</v>
      </c>
      <c r="I205" s="6" t="n"/>
      <c r="J205" s="6">
        <f>IF((B205*0.935 - F205*500) / (1.025*(1+$P$2/100)) &lt;= F205*500/0.15,ROUND(MAX(0, (B205*0.935 - F205*500) / (1.025*(1+$P$2/100))),0),ROUND(MAX(0, B205*0.935 / (1.175*(1+$P$2/100))),0))</f>
        <v/>
      </c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2.75" customHeight="1" s="46">
      <c r="A206" s="17" t="inlineStr">
        <is>
          <t>чекан (старейшина)</t>
        </is>
      </c>
      <c r="B206" s="59" t="n">
        <v>646666</v>
      </c>
      <c r="C206" s="16" t="n">
        <v>0</v>
      </c>
      <c r="D206" s="16" t="n">
        <v>3</v>
      </c>
      <c r="E206" s="10" t="inlineStr">
        <is>
          <t>0.75</t>
        </is>
      </c>
      <c r="F206" s="12" t="n">
        <v>34.2</v>
      </c>
      <c r="G206" s="18" t="n">
        <v>509000</v>
      </c>
      <c r="H206" s="12" t="n">
        <v>137666</v>
      </c>
      <c r="I206" s="6" t="n"/>
      <c r="J206" s="6">
        <f>IF((B206*0.935 - F206*500) / (1.025*(1+$P$2/100)) &lt;= F206*500/0.15,ROUND(MAX(0, (B206*0.935 - F206*500) / (1.025*(1+$P$2/100))),0),ROUND(MAX(0, B206*0.935 / (1.175*(1+$P$2/100))),0))</f>
        <v/>
      </c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2.75" customHeight="1" s="46">
      <c r="A207" s="7" t="inlineStr">
        <is>
          <t>большой молот (знаток)</t>
        </is>
      </c>
      <c r="B207" s="55" t="n">
        <v>11639</v>
      </c>
      <c r="C207" s="9" t="n">
        <v>0</v>
      </c>
      <c r="D207" s="9" t="n">
        <v>100</v>
      </c>
      <c r="E207" s="10" t="inlineStr">
        <is>
          <t>0.55</t>
        </is>
      </c>
      <c r="F207" s="12" t="n">
        <v>6.8</v>
      </c>
      <c r="G207" s="18" t="n">
        <v>5997</v>
      </c>
      <c r="H207" s="12" t="n">
        <v>5642</v>
      </c>
      <c r="I207" s="6" t="n"/>
      <c r="J207" s="6">
        <f>IF((B207*0.935 - F207*500) / (1.025*(1+$P$2/100)) &lt;= F207*500/0.15,ROUND(MAX(0, (B207*0.935 - F207*500) / (1.025*(1+$P$2/100))),0),ROUND(MAX(0, B207*0.935 / (1.175*(1+$P$2/100))),0))</f>
        <v/>
      </c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2.75" customHeight="1" s="46">
      <c r="A208" s="13" t="inlineStr">
        <is>
          <t>большой молот (эксперт)</t>
        </is>
      </c>
      <c r="B208" s="55" t="n">
        <v>26847</v>
      </c>
      <c r="C208" s="9" t="n">
        <v>0</v>
      </c>
      <c r="D208" s="9" t="n">
        <v>70</v>
      </c>
      <c r="E208" s="10" t="inlineStr">
        <is>
          <t>0.70</t>
        </is>
      </c>
      <c r="F208" s="12" t="n">
        <v>10.1</v>
      </c>
      <c r="G208" s="18" t="n">
        <v>16889</v>
      </c>
      <c r="H208" s="12" t="n">
        <v>9958</v>
      </c>
      <c r="I208" s="6" t="n"/>
      <c r="J208" s="6">
        <f>IF((B208*0.935 - F208*500) / (1.025*(1+$P$2/100)) &lt;= F208*500/0.15,ROUND(MAX(0, (B208*0.935 - F208*500) / (1.025*(1+$P$2/100))),0),ROUND(MAX(0, B208*0.935 / (1.175*(1+$P$2/100))),0))</f>
        <v/>
      </c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2.75" customHeight="1" s="46">
      <c r="A209" s="14" t="inlineStr">
        <is>
          <t>большой молот (мастер)</t>
        </is>
      </c>
      <c r="B209" s="55" t="n">
        <v>95631</v>
      </c>
      <c r="C209" s="9" t="n">
        <v>0</v>
      </c>
      <c r="D209" s="9" t="n">
        <v>35</v>
      </c>
      <c r="E209" s="10" t="inlineStr">
        <is>
          <t>0.80</t>
        </is>
      </c>
      <c r="F209" s="12" t="n">
        <v>15.2</v>
      </c>
      <c r="G209" s="18" t="n">
        <v>71991</v>
      </c>
      <c r="H209" s="12" t="n">
        <v>23640</v>
      </c>
      <c r="I209" s="6" t="n"/>
      <c r="J209" s="6">
        <f>IF((B209*0.935 - F209*500) / (1.025*(1+$P$2/100)) &lt;= F209*500/0.15,ROUND(MAX(0, (B209*0.935 - F209*500) / (1.025*(1+$P$2/100))),0),ROUND(MAX(0, B209*0.935 / (1.175*(1+$P$2/100))),0))</f>
        <v/>
      </c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2.75" customHeight="1" s="46">
      <c r="A210" s="15" t="inlineStr">
        <is>
          <t>большой молот (магистр)</t>
        </is>
      </c>
      <c r="B210" s="55" t="n">
        <v>250982</v>
      </c>
      <c r="C210" s="16" t="n">
        <v>0</v>
      </c>
      <c r="D210" s="16" t="n">
        <v>6</v>
      </c>
      <c r="E210" s="10" t="inlineStr">
        <is>
          <t>0.75</t>
        </is>
      </c>
      <c r="F210" s="12" t="n">
        <v>22.8</v>
      </c>
      <c r="G210" s="18" t="n">
        <v>208500</v>
      </c>
      <c r="H210" s="12" t="n">
        <v>42482</v>
      </c>
      <c r="I210" s="6" t="n"/>
      <c r="J210" s="6">
        <f>IF((B210*0.935 - F210*500) / (1.025*(1+$P$2/100)) &lt;= F210*500/0.15,ROUND(MAX(0, (B210*0.935 - F210*500) / (1.025*(1+$P$2/100))),0),ROUND(MAX(0, B210*0.935 / (1.175*(1+$P$2/100))),0))</f>
        <v/>
      </c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2.75" customHeight="1" s="46">
      <c r="A211" s="17" t="inlineStr">
        <is>
          <t>большой молот (старейшина)</t>
        </is>
      </c>
      <c r="B211" s="55" t="n">
        <v>695977</v>
      </c>
      <c r="C211" s="16" t="n">
        <v>0</v>
      </c>
      <c r="D211" s="16" t="n">
        <v>3</v>
      </c>
      <c r="E211" s="10" t="inlineStr">
        <is>
          <t>0.75</t>
        </is>
      </c>
      <c r="F211" s="12" t="n">
        <v>34.2</v>
      </c>
      <c r="G211" s="18" t="n">
        <v>629999</v>
      </c>
      <c r="H211" s="12" t="n">
        <v>65978</v>
      </c>
      <c r="I211" s="6" t="n"/>
      <c r="J211" s="6">
        <f>IF((B211*0.935 - F211*500) / (1.025*(1+$P$2/100)) &lt;= F211*500/0.15,ROUND(MAX(0, (B211*0.935 - F211*500) / (1.025*(1+$P$2/100))),0),ROUND(MAX(0, B211*0.935 / (1.175*(1+$P$2/100))),0))</f>
        <v/>
      </c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2.75" customHeight="1" s="46">
      <c r="A212" s="7" t="inlineStr">
        <is>
          <t>перчатки крушителя (знаток)</t>
        </is>
      </c>
      <c r="B212" s="56" t="n">
        <v>13994</v>
      </c>
      <c r="C212" s="9" t="n">
        <v>0</v>
      </c>
      <c r="D212" s="9" t="n">
        <v>100</v>
      </c>
      <c r="E212" s="10" t="inlineStr">
        <is>
          <t>0.55</t>
        </is>
      </c>
      <c r="F212" s="12" t="n">
        <v>6.8</v>
      </c>
      <c r="G212" s="18" t="n">
        <v>6754</v>
      </c>
      <c r="H212" s="12" t="n">
        <v>7240</v>
      </c>
      <c r="I212" s="6" t="n"/>
      <c r="J212" s="6">
        <f>IF((B212*0.935 - F212*500) / (1.025*(1+$P$2/100)) &lt;= F212*500/0.15,ROUND(MAX(0, (B212*0.935 - F212*500) / (1.025*(1+$P$2/100))),0),ROUND(MAX(0, B212*0.935 / (1.175*(1+$P$2/100))),0))</f>
        <v/>
      </c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2.75" customHeight="1" s="46">
      <c r="A213" s="13" t="inlineStr">
        <is>
          <t>перчатки крушителя (эксперт)</t>
        </is>
      </c>
      <c r="B213" s="56" t="n">
        <v>38993</v>
      </c>
      <c r="C213" s="9" t="n">
        <v>0</v>
      </c>
      <c r="D213" s="9" t="n">
        <v>70</v>
      </c>
      <c r="E213" s="10" t="inlineStr">
        <is>
          <t>0.70</t>
        </is>
      </c>
      <c r="F213" s="12" t="n">
        <v>10.1</v>
      </c>
      <c r="G213" s="18" t="n">
        <v>24992</v>
      </c>
      <c r="H213" s="12" t="n">
        <v>14001</v>
      </c>
      <c r="I213" s="6" t="n"/>
      <c r="J213" s="6">
        <f>IF((B213*0.935 - F213*500) / (1.025*(1+$P$2/100)) &lt;= F213*500/0.15,ROUND(MAX(0, (B213*0.935 - F213*500) / (1.025*(1+$P$2/100))),0),ROUND(MAX(0, B213*0.935 / (1.175*(1+$P$2/100))),0))</f>
        <v/>
      </c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2.75" customHeight="1" s="46">
      <c r="A214" s="14" t="inlineStr">
        <is>
          <t>перчатки крушителя (мастер)</t>
        </is>
      </c>
      <c r="B214" s="56" t="n">
        <v>123080</v>
      </c>
      <c r="C214" s="9" t="n">
        <v>0</v>
      </c>
      <c r="D214" s="9" t="n">
        <v>35</v>
      </c>
      <c r="E214" s="10" t="inlineStr">
        <is>
          <t>0.80</t>
        </is>
      </c>
      <c r="F214" s="12" t="n">
        <v>15.2</v>
      </c>
      <c r="G214" s="18" t="n">
        <v>91097</v>
      </c>
      <c r="H214" s="12" t="n">
        <v>31983</v>
      </c>
      <c r="I214" s="6" t="n"/>
      <c r="J214" s="6">
        <f>IF((B214*0.935 - F214*500) / (1.025*(1+$P$2/100)) &lt;= F214*500/0.15,ROUND(MAX(0, (B214*0.935 - F214*500) / (1.025*(1+$P$2/100))),0),ROUND(MAX(0, B214*0.935 / (1.175*(1+$P$2/100))),0))</f>
        <v/>
      </c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2.75" customHeight="1" s="46">
      <c r="A215" s="15" t="inlineStr">
        <is>
          <t>перчатки крушителя (магистр)</t>
        </is>
      </c>
      <c r="B215" s="56" t="n">
        <v>337770</v>
      </c>
      <c r="C215" s="16" t="n">
        <v>0</v>
      </c>
      <c r="D215" s="16" t="n">
        <v>6</v>
      </c>
      <c r="E215" s="10" t="inlineStr">
        <is>
          <t>0.75</t>
        </is>
      </c>
      <c r="F215" s="12" t="n">
        <v>22.8</v>
      </c>
      <c r="G215" s="18" t="n">
        <v>260998</v>
      </c>
      <c r="H215" s="12" t="n">
        <v>76772</v>
      </c>
      <c r="I215" s="6" t="n"/>
      <c r="J215" s="6">
        <f>IF((B215*0.935 - F215*500) / (1.025*(1+$P$2/100)) &lt;= F215*500/0.15,ROUND(MAX(0, (B215*0.935 - F215*500) / (1.025*(1+$P$2/100))),0),ROUND(MAX(0, B215*0.935 / (1.175*(1+$P$2/100))),0))</f>
        <v/>
      </c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2.75" customHeight="1" s="46">
      <c r="A216" s="17" t="inlineStr">
        <is>
          <t>перчатки крушителя (старейшина)</t>
        </is>
      </c>
      <c r="B216" s="56" t="n">
        <v>861101</v>
      </c>
      <c r="C216" s="16" t="n">
        <v>0</v>
      </c>
      <c r="D216" s="16" t="n">
        <v>3</v>
      </c>
      <c r="E216" s="10" t="inlineStr">
        <is>
          <t>0.75</t>
        </is>
      </c>
      <c r="F216" s="12" t="n">
        <v>34.2</v>
      </c>
      <c r="G216" s="18" t="n">
        <v>789998</v>
      </c>
      <c r="H216" s="12" t="n">
        <v>71103</v>
      </c>
      <c r="I216" s="6" t="n"/>
      <c r="J216" s="6">
        <f>IF((B216*0.935 - F216*500) / (1.025*(1+$P$2/100)) &lt;= F216*500/0.15,ROUND(MAX(0, (B216*0.935 - F216*500) / (1.025*(1+$P$2/100))),0),ROUND(MAX(0, B216*0.935 / (1.175*(1+$P$2/100))),0))</f>
        <v/>
      </c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2.75" customHeight="1" s="46">
      <c r="A217" s="7" t="inlineStr">
        <is>
          <t>боевые наручи (знаток)</t>
        </is>
      </c>
      <c r="B217" s="57" t="n">
        <v>14693</v>
      </c>
      <c r="C217" s="9" t="n">
        <v>0</v>
      </c>
      <c r="D217" s="9" t="n">
        <v>100</v>
      </c>
      <c r="E217" s="10" t="inlineStr">
        <is>
          <t>0.55</t>
        </is>
      </c>
      <c r="F217" s="12" t="n">
        <v>6.8</v>
      </c>
      <c r="G217" s="18" t="n">
        <v>5498</v>
      </c>
      <c r="H217" s="12" t="n">
        <v>9195</v>
      </c>
      <c r="I217" s="6" t="n"/>
      <c r="J217" s="6">
        <f>IF((B217*0.935 - F217*500) / (1.025*(1+$P$2/100)) &lt;= F217*500/0.15,ROUND(MAX(0, (B217*0.935 - F217*500) / (1.025*(1+$P$2/100))),0),ROUND(MAX(0, B217*0.935 / (1.175*(1+$P$2/100))),0))</f>
        <v/>
      </c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2.75" customHeight="1" s="46">
      <c r="A218" s="13" t="inlineStr">
        <is>
          <t>боевые наручи (эксперт)</t>
        </is>
      </c>
      <c r="B218" s="57" t="n">
        <v>31887</v>
      </c>
      <c r="C218" s="9" t="n">
        <v>0</v>
      </c>
      <c r="D218" s="9" t="n">
        <v>70</v>
      </c>
      <c r="E218" s="10" t="inlineStr">
        <is>
          <t>0.70</t>
        </is>
      </c>
      <c r="F218" s="12" t="n">
        <v>10.1</v>
      </c>
      <c r="G218" s="18" t="n">
        <v>19000</v>
      </c>
      <c r="H218" s="12" t="n">
        <v>12887</v>
      </c>
      <c r="I218" s="6" t="n"/>
      <c r="J218" s="6">
        <f>IF((B218*0.935 - F218*500) / (1.025*(1+$P$2/100)) &lt;= F218*500/0.15,ROUND(MAX(0, (B218*0.935 - F218*500) / (1.025*(1+$P$2/100))),0),ROUND(MAX(0, B218*0.935 / (1.175*(1+$P$2/100))),0))</f>
        <v/>
      </c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2.75" customHeight="1" s="46">
      <c r="A219" s="14" t="inlineStr">
        <is>
          <t>боевые наручи (мастер)</t>
        </is>
      </c>
      <c r="B219" s="57" t="n">
        <v>122856</v>
      </c>
      <c r="C219" s="9" t="n">
        <v>0</v>
      </c>
      <c r="D219" s="9" t="n">
        <v>35</v>
      </c>
      <c r="E219" s="10" t="inlineStr">
        <is>
          <t>0.80</t>
        </is>
      </c>
      <c r="F219" s="12" t="n">
        <v>15.2</v>
      </c>
      <c r="G219" s="18" t="n">
        <v>94996</v>
      </c>
      <c r="H219" s="12" t="n">
        <v>27860</v>
      </c>
      <c r="I219" s="6" t="n"/>
      <c r="J219" s="6">
        <f>IF((B219*0.935 - F219*500) / (1.025*(1+$P$2/100)) &lt;= F219*500/0.15,ROUND(MAX(0, (B219*0.935 - F219*500) / (1.025*(1+$P$2/100))),0),ROUND(MAX(0, B219*0.935 / (1.175*(1+$P$2/100))),0))</f>
        <v/>
      </c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2.75" customHeight="1" s="46">
      <c r="A220" s="15" t="inlineStr">
        <is>
          <t>боевые наручи (магистр)</t>
        </is>
      </c>
      <c r="B220" s="57" t="n">
        <v>387000</v>
      </c>
      <c r="C220" s="16" t="n">
        <v>0</v>
      </c>
      <c r="D220" s="16" t="n">
        <v>6</v>
      </c>
      <c r="E220" s="10" t="inlineStr">
        <is>
          <t>0.75</t>
        </is>
      </c>
      <c r="F220" s="12" t="n">
        <v>22.8</v>
      </c>
      <c r="G220" s="18" t="n">
        <v>349895</v>
      </c>
      <c r="H220" s="12" t="n">
        <v>37105</v>
      </c>
      <c r="I220" s="6" t="n"/>
      <c r="J220" s="6">
        <f>IF((B220*0.935 - F220*500) / (1.025*(1+$P$2/100)) &lt;= F220*500/0.15,ROUND(MAX(0, (B220*0.935 - F220*500) / (1.025*(1+$P$2/100))),0),ROUND(MAX(0, B220*0.935 / (1.175*(1+$P$2/100))),0))</f>
        <v/>
      </c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2.75" customHeight="1" s="46">
      <c r="A221" s="17" t="inlineStr">
        <is>
          <t>боевые наручи (старейшина)</t>
        </is>
      </c>
      <c r="B221" s="57" t="n">
        <v>919984</v>
      </c>
      <c r="C221" s="16" t="n">
        <v>0</v>
      </c>
      <c r="D221" s="16" t="n">
        <v>3</v>
      </c>
      <c r="E221" s="10" t="inlineStr">
        <is>
          <t>0.75</t>
        </is>
      </c>
      <c r="F221" s="12" t="n">
        <v>34.2</v>
      </c>
      <c r="G221" s="18" t="n">
        <v>865938</v>
      </c>
      <c r="H221" s="12" t="n">
        <v>54046</v>
      </c>
      <c r="I221" s="6" t="n"/>
      <c r="J221" s="6">
        <f>IF((B221*0.935 - F221*500) / (1.025*(1+$P$2/100)) &lt;= F221*500/0.15,ROUND(MAX(0, (B221*0.935 - F221*500) / (1.025*(1+$P$2/100))),0),ROUND(MAX(0, B221*0.935 / (1.175*(1+$P$2/100))),0))</f>
        <v/>
      </c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2.75" customHeight="1" s="46">
      <c r="A222" s="7" t="inlineStr">
        <is>
          <t>шипастые рукавицы (знаток)</t>
        </is>
      </c>
      <c r="B222" s="60" t="n">
        <v>14882</v>
      </c>
      <c r="C222" s="9" t="n">
        <v>0</v>
      </c>
      <c r="D222" s="9" t="n">
        <v>100</v>
      </c>
      <c r="E222" s="10" t="inlineStr">
        <is>
          <t>0.55</t>
        </is>
      </c>
      <c r="F222" s="12" t="n">
        <v>6.8</v>
      </c>
      <c r="G222" s="18" t="n">
        <v>6755</v>
      </c>
      <c r="H222" s="12" t="n">
        <v>8127</v>
      </c>
      <c r="I222" s="6" t="n"/>
      <c r="J222" s="6">
        <f>IF((B222*0.935 - F222*500) / (1.025*(1+$P$2/100)) &lt;= F222*500/0.15,ROUND(MAX(0, (B222*0.935 - F222*500) / (1.025*(1+$P$2/100))),0),ROUND(MAX(0, B222*0.935 / (1.175*(1+$P$2/100))),0))</f>
        <v/>
      </c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2.75" customHeight="1" s="46">
      <c r="A223" s="13" t="inlineStr">
        <is>
          <t>шипастые рукавицы (эксперт)</t>
        </is>
      </c>
      <c r="B223" s="60" t="n">
        <v>33237</v>
      </c>
      <c r="C223" s="9" t="n">
        <v>0</v>
      </c>
      <c r="D223" s="9" t="n">
        <v>70</v>
      </c>
      <c r="E223" s="10" t="inlineStr">
        <is>
          <t>0.70</t>
        </is>
      </c>
      <c r="F223" s="12" t="n">
        <v>10.1</v>
      </c>
      <c r="G223" s="18" t="n">
        <v>20999</v>
      </c>
      <c r="H223" s="12" t="n">
        <v>12238</v>
      </c>
      <c r="I223" s="6" t="n"/>
      <c r="J223" s="6">
        <f>IF((B223*0.935 - F223*500) / (1.025*(1+$P$2/100)) &lt;= F223*500/0.15,ROUND(MAX(0, (B223*0.935 - F223*500) / (1.025*(1+$P$2/100))),0),ROUND(MAX(0, B223*0.935 / (1.175*(1+$P$2/100))),0))</f>
        <v/>
      </c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2.75" customHeight="1" s="46">
      <c r="A224" s="14" t="inlineStr">
        <is>
          <t>шипастые рукавицы (мастер)</t>
        </is>
      </c>
      <c r="B224" s="60" t="n">
        <v>122507</v>
      </c>
      <c r="C224" s="9" t="n">
        <v>0</v>
      </c>
      <c r="D224" s="9" t="n">
        <v>35</v>
      </c>
      <c r="E224" s="10" t="inlineStr">
        <is>
          <t>0.80</t>
        </is>
      </c>
      <c r="F224" s="12" t="n">
        <v>15.2</v>
      </c>
      <c r="G224" s="18" t="n">
        <v>84996</v>
      </c>
      <c r="H224" s="12" t="n">
        <v>37511</v>
      </c>
      <c r="I224" s="6" t="n"/>
      <c r="J224" s="6">
        <f>IF((B224*0.935 - F224*500) / (1.025*(1+$P$2/100)) &lt;= F224*500/0.15,ROUND(MAX(0, (B224*0.935 - F224*500) / (1.025*(1+$P$2/100))),0),ROUND(MAX(0, B224*0.935 / (1.175*(1+$P$2/100))),0))</f>
        <v/>
      </c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2.75" customHeight="1" s="46">
      <c r="A225" s="15" t="inlineStr">
        <is>
          <t>шипастые рукавицы (магистр)</t>
        </is>
      </c>
      <c r="B225" s="60" t="n">
        <v>365622</v>
      </c>
      <c r="C225" s="16" t="n">
        <v>0</v>
      </c>
      <c r="D225" s="16" t="n">
        <v>6</v>
      </c>
      <c r="E225" s="10" t="inlineStr">
        <is>
          <t>0.75</t>
        </is>
      </c>
      <c r="F225" s="12" t="n">
        <v>22.8</v>
      </c>
      <c r="G225" s="18" t="n">
        <v>299990</v>
      </c>
      <c r="H225" s="12" t="n">
        <v>65632</v>
      </c>
      <c r="I225" s="6" t="n"/>
      <c r="J225" s="6">
        <f>IF((B225*0.935 - F225*500) / (1.025*(1+$P$2/100)) &lt;= F225*500/0.15,ROUND(MAX(0, (B225*0.935 - F225*500) / (1.025*(1+$P$2/100))),0),ROUND(MAX(0, B225*0.935 / (1.175*(1+$P$2/100))),0))</f>
        <v/>
      </c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2.75" customHeight="1" s="46">
      <c r="A226" s="17" t="inlineStr">
        <is>
          <t>шипастые рукавицы (старейшина)</t>
        </is>
      </c>
      <c r="B226" s="60" t="n">
        <v>954899</v>
      </c>
      <c r="C226" s="16" t="n">
        <v>0</v>
      </c>
      <c r="D226" s="16" t="n">
        <v>3</v>
      </c>
      <c r="E226" s="10" t="inlineStr">
        <is>
          <t>0.75</t>
        </is>
      </c>
      <c r="F226" s="12" t="n">
        <v>34.2</v>
      </c>
      <c r="G226" s="18" t="n">
        <v>734999</v>
      </c>
      <c r="H226" s="12" t="n">
        <v>219900</v>
      </c>
      <c r="I226" s="6" t="n"/>
      <c r="J226" s="6">
        <f>IF((B226*0.935 - F226*500) / (1.025*(1+$P$2/100)) &lt;= F226*500/0.15,ROUND(MAX(0, (B226*0.935 - F226*500) / (1.025*(1+$P$2/100))),0),ROUND(MAX(0, B226*0.935 / (1.175*(1+$P$2/100))),0))</f>
        <v/>
      </c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2.75" customHeight="1" s="46">
      <c r="A227" s="7" t="inlineStr">
        <is>
          <t>булава (знаток)</t>
        </is>
      </c>
      <c r="B227" s="61" t="n">
        <v>8007</v>
      </c>
      <c r="C227" s="9" t="n">
        <v>0</v>
      </c>
      <c r="D227" s="9" t="n">
        <v>100</v>
      </c>
      <c r="E227" s="10" t="inlineStr">
        <is>
          <t>0.55</t>
        </is>
      </c>
      <c r="F227" s="12" t="n">
        <v>5.1</v>
      </c>
      <c r="G227" s="18" t="n">
        <v>4486</v>
      </c>
      <c r="H227" s="12" t="n">
        <v>3521</v>
      </c>
      <c r="I227" s="6" t="n"/>
      <c r="J227" s="6">
        <f>IF((B227*0.935 - F227*500) / (1.025*(1+$P$2/100)) &lt;= F227*500/0.15,ROUND(MAX(0, (B227*0.935 - F227*500) / (1.025*(1+$P$2/100))),0),ROUND(MAX(0, B227*0.935 / (1.175*(1+$P$2/100))),0))</f>
        <v/>
      </c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2.75" customHeight="1" s="46">
      <c r="A228" s="13" t="inlineStr">
        <is>
          <t>булава (эксперт)</t>
        </is>
      </c>
      <c r="B228" s="61" t="n">
        <v>18500</v>
      </c>
      <c r="C228" s="9" t="n">
        <v>0</v>
      </c>
      <c r="D228" s="9" t="n">
        <v>70</v>
      </c>
      <c r="E228" s="10" t="inlineStr">
        <is>
          <t>0.70</t>
        </is>
      </c>
      <c r="F228" s="12" t="n">
        <v>7.6</v>
      </c>
      <c r="G228" s="18" t="n">
        <v>10978</v>
      </c>
      <c r="H228" s="12" t="n">
        <v>7522</v>
      </c>
      <c r="I228" s="6" t="n"/>
      <c r="J228" s="6">
        <f>IF((B228*0.935 - F228*500) / (1.025*(1+$P$2/100)) &lt;= F228*500/0.15,ROUND(MAX(0, (B228*0.935 - F228*500) / (1.025*(1+$P$2/100))),0),ROUND(MAX(0, B228*0.935 / (1.175*(1+$P$2/100))),0))</f>
        <v/>
      </c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2.75" customHeight="1" s="46">
      <c r="A229" s="14" t="inlineStr">
        <is>
          <t>булава (мастер)</t>
        </is>
      </c>
      <c r="B229" s="61" t="n">
        <v>59999</v>
      </c>
      <c r="C229" s="9" t="n">
        <v>0</v>
      </c>
      <c r="D229" s="9" t="n">
        <v>35</v>
      </c>
      <c r="E229" s="10" t="inlineStr">
        <is>
          <t>0.80</t>
        </is>
      </c>
      <c r="F229" s="12" t="n">
        <v>11.4</v>
      </c>
      <c r="G229" s="18" t="n">
        <v>46966</v>
      </c>
      <c r="H229" s="12" t="n">
        <v>13033</v>
      </c>
      <c r="I229" s="6" t="n"/>
      <c r="J229" s="6">
        <f>IF((B229*0.935 - F229*500) / (1.025*(1+$P$2/100)) &lt;= F229*500/0.15,ROUND(MAX(0, (B229*0.935 - F229*500) / (1.025*(1+$P$2/100))),0),ROUND(MAX(0, B229*0.935 / (1.175*(1+$P$2/100))),0))</f>
        <v/>
      </c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2.75" customHeight="1" s="46">
      <c r="A230" s="15" t="inlineStr">
        <is>
          <t>булава (магистр)</t>
        </is>
      </c>
      <c r="B230" s="61" t="n">
        <v>169676</v>
      </c>
      <c r="C230" s="16" t="n">
        <v>0</v>
      </c>
      <c r="D230" s="16" t="n">
        <v>6</v>
      </c>
      <c r="E230" s="10" t="inlineStr">
        <is>
          <t>0.75</t>
        </is>
      </c>
      <c r="F230" s="12" t="n">
        <v>17.1</v>
      </c>
      <c r="G230" s="18" t="n">
        <v>129898</v>
      </c>
      <c r="H230" s="12" t="n">
        <v>39778</v>
      </c>
      <c r="I230" s="6" t="n"/>
      <c r="J230" s="6">
        <f>IF((B230*0.935 - F230*500) / (1.025*(1+$P$2/100)) &lt;= F230*500/0.15,ROUND(MAX(0, (B230*0.935 - F230*500) / (1.025*(1+$P$2/100))),0),ROUND(MAX(0, B230*0.935 / (1.175*(1+$P$2/100))),0))</f>
        <v/>
      </c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2.75" customHeight="1" s="46">
      <c r="A231" s="17" t="inlineStr">
        <is>
          <t>булава (старейшина)</t>
        </is>
      </c>
      <c r="B231" s="61" t="n">
        <v>505239</v>
      </c>
      <c r="C231" s="16" t="n">
        <v>0</v>
      </c>
      <c r="D231" s="16" t="n">
        <v>3</v>
      </c>
      <c r="E231" s="10" t="inlineStr">
        <is>
          <t>0.75</t>
        </is>
      </c>
      <c r="F231" s="12" t="n">
        <v>25.6</v>
      </c>
      <c r="G231" s="18" t="n">
        <v>555555</v>
      </c>
      <c r="H231" s="12" t="n">
        <v>-50316</v>
      </c>
      <c r="I231" s="6" t="n"/>
      <c r="J231" s="6">
        <f>IF((B231*0.935 - F231*500) / (1.025*(1+$P$2/100)) &lt;= F231*500/0.15,ROUND(MAX(0, (B231*0.935 - F231*500) / (1.025*(1+$P$2/100))),0),ROUND(MAX(0, B231*0.935 / (1.175*(1+$P$2/100))),0))</f>
        <v/>
      </c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2.75" customHeight="1" s="46">
      <c r="A232" s="7" t="inlineStr">
        <is>
          <t>тяжелая булава (знаток)</t>
        </is>
      </c>
      <c r="B232" s="55" t="n">
        <v>11000</v>
      </c>
      <c r="C232" s="9" t="n">
        <v>0</v>
      </c>
      <c r="D232" s="9" t="n">
        <v>100</v>
      </c>
      <c r="E232" s="10" t="inlineStr">
        <is>
          <t>0.55</t>
        </is>
      </c>
      <c r="F232" s="12" t="n">
        <v>6.8</v>
      </c>
      <c r="G232" s="18" t="n">
        <v>5143</v>
      </c>
      <c r="H232" s="12" t="n">
        <v>5857</v>
      </c>
      <c r="I232" s="6" t="n"/>
      <c r="J232" s="6">
        <f>IF((B232*0.935 - F232*500) / (1.025*(1+$P$2/100)) &lt;= F232*500/0.15,ROUND(MAX(0, (B232*0.935 - F232*500) / (1.025*(1+$P$2/100))),0),ROUND(MAX(0, B232*0.935 / (1.175*(1+$P$2/100))),0))</f>
        <v/>
      </c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2.75" customHeight="1" s="46">
      <c r="A233" s="13" t="inlineStr">
        <is>
          <t>тяжелая булава (эксперт)</t>
        </is>
      </c>
      <c r="B233" s="55" t="n">
        <v>27990</v>
      </c>
      <c r="C233" s="9" t="n">
        <v>0</v>
      </c>
      <c r="D233" s="9" t="n">
        <v>70</v>
      </c>
      <c r="E233" s="10" t="inlineStr">
        <is>
          <t>0.70</t>
        </is>
      </c>
      <c r="F233" s="12" t="n">
        <v>10.1</v>
      </c>
      <c r="G233" s="18" t="n">
        <v>21998</v>
      </c>
      <c r="H233" s="12" t="n">
        <v>5992</v>
      </c>
      <c r="I233" s="6" t="n"/>
      <c r="J233" s="6">
        <f>IF((B233*0.935 - F233*500) / (1.025*(1+$P$2/100)) &lt;= F233*500/0.15,ROUND(MAX(0, (B233*0.935 - F233*500) / (1.025*(1+$P$2/100))),0),ROUND(MAX(0, B233*0.935 / (1.175*(1+$P$2/100))),0))</f>
        <v/>
      </c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2.75" customHeight="1" s="46">
      <c r="A234" s="14" t="inlineStr">
        <is>
          <t>тяжелая булава (мастер)</t>
        </is>
      </c>
      <c r="B234" s="55" t="n">
        <v>95868</v>
      </c>
      <c r="C234" s="9" t="n">
        <v>0</v>
      </c>
      <c r="D234" s="9" t="n">
        <v>35</v>
      </c>
      <c r="E234" s="10" t="inlineStr">
        <is>
          <t>0.80</t>
        </is>
      </c>
      <c r="F234" s="12" t="n">
        <v>15.2</v>
      </c>
      <c r="G234" s="18" t="n">
        <v>54000</v>
      </c>
      <c r="H234" s="12" t="n">
        <v>41868</v>
      </c>
      <c r="I234" s="6" t="n"/>
      <c r="J234" s="6">
        <f>IF((B234*0.935 - F234*500) / (1.025*(1+$P$2/100)) &lt;= F234*500/0.15,ROUND(MAX(0, (B234*0.935 - F234*500) / (1.025*(1+$P$2/100))),0),ROUND(MAX(0, B234*0.935 / (1.175*(1+$P$2/100))),0))</f>
        <v/>
      </c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2.75" customHeight="1" s="46">
      <c r="A235" s="15" t="inlineStr">
        <is>
          <t>тяжелая булава (магистр)</t>
        </is>
      </c>
      <c r="B235" s="55" t="n">
        <v>219982</v>
      </c>
      <c r="C235" s="16" t="n">
        <v>0</v>
      </c>
      <c r="D235" s="16" t="n">
        <v>6</v>
      </c>
      <c r="E235" s="10" t="inlineStr">
        <is>
          <t>0.75</t>
        </is>
      </c>
      <c r="F235" s="12" t="n">
        <v>22.8</v>
      </c>
      <c r="G235" s="18" t="n">
        <v>170974</v>
      </c>
      <c r="H235" s="12" t="n">
        <v>49008</v>
      </c>
      <c r="I235" s="6" t="n"/>
      <c r="J235" s="6">
        <f>IF((B235*0.935 - F235*500) / (1.025*(1+$P$2/100)) &lt;= F235*500/0.15,ROUND(MAX(0, (B235*0.935 - F235*500) / (1.025*(1+$P$2/100))),0),ROUND(MAX(0, B235*0.935 / (1.175*(1+$P$2/100))),0))</f>
        <v/>
      </c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2.75" customHeight="1" s="46">
      <c r="A236" s="17" t="inlineStr">
        <is>
          <t>тяжелая булава (старейшина)</t>
        </is>
      </c>
      <c r="B236" s="55" t="n">
        <v>653975</v>
      </c>
      <c r="C236" s="16" t="n">
        <v>0</v>
      </c>
      <c r="D236" s="16" t="n">
        <v>3</v>
      </c>
      <c r="E236" s="10" t="inlineStr">
        <is>
          <t>0.75</t>
        </is>
      </c>
      <c r="F236" s="12" t="n">
        <v>34.2</v>
      </c>
      <c r="G236" s="18" t="n">
        <v>699985</v>
      </c>
      <c r="H236" s="12" t="n">
        <v>-46010</v>
      </c>
      <c r="I236" s="6" t="n"/>
      <c r="J236" s="6">
        <f>IF((B236*0.935 - F236*500) / (1.025*(1+$P$2/100)) &lt;= F236*500/0.15,ROUND(MAX(0, (B236*0.935 - F236*500) / (1.025*(1+$P$2/100))),0),ROUND(MAX(0, B236*0.935 / (1.175*(1+$P$2/100))),0))</f>
        <v/>
      </c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2.75" customHeight="1" s="46">
      <c r="A237" s="7" t="inlineStr">
        <is>
          <t>моргенштерн (знаток)</t>
        </is>
      </c>
      <c r="B237" s="60" t="n">
        <v>12999</v>
      </c>
      <c r="C237" s="9" t="n">
        <v>0</v>
      </c>
      <c r="D237" s="9" t="n">
        <v>100</v>
      </c>
      <c r="E237" s="10" t="inlineStr">
        <is>
          <t>0.55</t>
        </is>
      </c>
      <c r="F237" s="12" t="n">
        <v>6.8</v>
      </c>
      <c r="G237" s="18" t="n">
        <v>7158</v>
      </c>
      <c r="H237" s="12" t="n">
        <v>5841</v>
      </c>
      <c r="I237" s="6" t="n"/>
      <c r="J237" s="6">
        <f>IF((B237*0.935 - F237*500) / (1.025*(1+$P$2/100)) &lt;= F237*500/0.15,ROUND(MAX(0, (B237*0.935 - F237*500) / (1.025*(1+$P$2/100))),0),ROUND(MAX(0, B237*0.935 / (1.175*(1+$P$2/100))),0))</f>
        <v/>
      </c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2.75" customHeight="1" s="46">
      <c r="A238" s="13" t="inlineStr">
        <is>
          <t>моргенштерн (эксперт)</t>
        </is>
      </c>
      <c r="B238" s="60" t="n">
        <v>32500</v>
      </c>
      <c r="C238" s="9" t="n">
        <v>0</v>
      </c>
      <c r="D238" s="9" t="n">
        <v>70</v>
      </c>
      <c r="E238" s="10" t="inlineStr">
        <is>
          <t>0.70</t>
        </is>
      </c>
      <c r="F238" s="12" t="n">
        <v>10.1</v>
      </c>
      <c r="G238" s="18" t="n">
        <v>16998</v>
      </c>
      <c r="H238" s="12" t="n">
        <v>15502</v>
      </c>
      <c r="I238" s="6" t="n"/>
      <c r="J238" s="6">
        <f>IF((B238*0.935 - F238*500) / (1.025*(1+$P$2/100)) &lt;= F238*500/0.15,ROUND(MAX(0, (B238*0.935 - F238*500) / (1.025*(1+$P$2/100))),0),ROUND(MAX(0, B238*0.935 / (1.175*(1+$P$2/100))),0))</f>
        <v/>
      </c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2.75" customHeight="1" s="46">
      <c r="A239" s="14" t="inlineStr">
        <is>
          <t>моргенштерн (мастер)</t>
        </is>
      </c>
      <c r="B239" s="60" t="n">
        <v>91940</v>
      </c>
      <c r="C239" s="9" t="n">
        <v>0</v>
      </c>
      <c r="D239" s="9" t="n">
        <v>35</v>
      </c>
      <c r="E239" s="10" t="inlineStr">
        <is>
          <t>0.80</t>
        </is>
      </c>
      <c r="F239" s="12" t="n">
        <v>15.2</v>
      </c>
      <c r="G239" s="18" t="n">
        <v>77493</v>
      </c>
      <c r="H239" s="12" t="n">
        <v>14447</v>
      </c>
      <c r="I239" s="6" t="n"/>
      <c r="J239" s="6">
        <f>IF((B239*0.935 - F239*500) / (1.025*(1+$P$2/100)) &lt;= F239*500/0.15,ROUND(MAX(0, (B239*0.935 - F239*500) / (1.025*(1+$P$2/100))),0),ROUND(MAX(0, B239*0.935 / (1.175*(1+$P$2/100))),0))</f>
        <v/>
      </c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2.75" customHeight="1" s="46">
      <c r="A240" s="15" t="inlineStr">
        <is>
          <t>моргенштерн (магистр)</t>
        </is>
      </c>
      <c r="B240" s="60" t="n">
        <v>219982</v>
      </c>
      <c r="C240" s="16" t="n">
        <v>0</v>
      </c>
      <c r="D240" s="16" t="n">
        <v>6</v>
      </c>
      <c r="E240" s="10" t="inlineStr">
        <is>
          <t>0.75</t>
        </is>
      </c>
      <c r="F240" s="12" t="n">
        <v>22.8</v>
      </c>
      <c r="G240" s="18" t="n">
        <v>149996</v>
      </c>
      <c r="H240" s="12" t="n">
        <v>69986</v>
      </c>
      <c r="I240" s="6" t="n"/>
      <c r="J240" s="6">
        <f>IF((B240*0.935 - F240*500) / (1.025*(1+$P$2/100)) &lt;= F240*500/0.15,ROUND(MAX(0, (B240*0.935 - F240*500) / (1.025*(1+$P$2/100))),0),ROUND(MAX(0, B240*0.935 / (1.175*(1+$P$2/100))),0))</f>
        <v/>
      </c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2.75" customHeight="1" s="46">
      <c r="A241" s="17" t="inlineStr">
        <is>
          <t>моргенштерн (старейшина)</t>
        </is>
      </c>
      <c r="B241" s="60" t="n">
        <v>545493</v>
      </c>
      <c r="C241" s="16" t="n">
        <v>0</v>
      </c>
      <c r="D241" s="16" t="n">
        <v>3</v>
      </c>
      <c r="E241" s="10" t="inlineStr">
        <is>
          <t>0.75</t>
        </is>
      </c>
      <c r="F241" s="12" t="n">
        <v>34.2</v>
      </c>
      <c r="G241" s="18" t="n">
        <v>450000</v>
      </c>
      <c r="H241" s="12" t="n">
        <v>95493</v>
      </c>
      <c r="I241" s="6" t="n"/>
      <c r="J241" s="6">
        <f>IF((B241*0.935 - F241*500) / (1.025*(1+$P$2/100)) &lt;= F241*500/0.15,ROUND(MAX(0, (B241*0.935 - F241*500) / (1.025*(1+$P$2/100))),0),ROUND(MAX(0, B241*0.935 / (1.175*(1+$P$2/100))),0))</f>
        <v/>
      </c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2.75" customHeight="1" s="46">
      <c r="A242" s="7" t="inlineStr">
        <is>
          <t>боевой шест (знаток)</t>
        </is>
      </c>
      <c r="B242" s="60" t="n">
        <v>13957</v>
      </c>
      <c r="C242" s="9" t="n">
        <v>0</v>
      </c>
      <c r="D242" s="9" t="n">
        <v>100</v>
      </c>
      <c r="E242" s="10" t="inlineStr">
        <is>
          <t>0.55</t>
        </is>
      </c>
      <c r="F242" s="12" t="n">
        <v>6.8</v>
      </c>
      <c r="G242" s="18" t="n">
        <v>7998</v>
      </c>
      <c r="H242" s="12" t="n">
        <v>5959</v>
      </c>
      <c r="I242" s="6" t="n"/>
      <c r="J242" s="6">
        <f>IF((B242*0.935 - F242*500) / (1.025*(1+$P$2/100)) &lt;= F242*500/0.15,ROUND(MAX(0, (B242*0.935 - F242*500) / (1.025*(1+$P$2/100))),0),ROUND(MAX(0, B242*0.935 / (1.175*(1+$P$2/100))),0))</f>
        <v/>
      </c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2.75" customHeight="1" s="46">
      <c r="A243" s="13" t="inlineStr">
        <is>
          <t>боевой шест (эксперт)</t>
        </is>
      </c>
      <c r="B243" s="60" t="n">
        <v>43888</v>
      </c>
      <c r="C243" s="9" t="n">
        <v>0</v>
      </c>
      <c r="D243" s="9" t="n">
        <v>70</v>
      </c>
      <c r="E243" s="10" t="inlineStr">
        <is>
          <t>0.70</t>
        </is>
      </c>
      <c r="F243" s="12" t="n">
        <v>10.1</v>
      </c>
      <c r="G243" s="18" t="n">
        <v>29500</v>
      </c>
      <c r="H243" s="12" t="n">
        <v>14388</v>
      </c>
      <c r="I243" s="6" t="n"/>
      <c r="J243" s="6">
        <f>IF((B243*0.935 - F243*500) / (1.025*(1+$P$2/100)) &lt;= F243*500/0.15,ROUND(MAX(0, (B243*0.935 - F243*500) / (1.025*(1+$P$2/100))),0),ROUND(MAX(0, B243*0.935 / (1.175*(1+$P$2/100))),0))</f>
        <v/>
      </c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2.75" customHeight="1" s="46">
      <c r="A244" s="14" t="inlineStr">
        <is>
          <t>боевой шест (мастер)</t>
        </is>
      </c>
      <c r="B244" s="60" t="n">
        <v>117970</v>
      </c>
      <c r="C244" s="9" t="n">
        <v>0</v>
      </c>
      <c r="D244" s="9" t="n">
        <v>35</v>
      </c>
      <c r="E244" s="10" t="inlineStr">
        <is>
          <t>0.80</t>
        </is>
      </c>
      <c r="F244" s="12" t="n">
        <v>15.2</v>
      </c>
      <c r="G244" s="18" t="n">
        <v>89996</v>
      </c>
      <c r="H244" s="12" t="n">
        <v>27974</v>
      </c>
      <c r="I244" s="6" t="n"/>
      <c r="J244" s="6">
        <f>IF((B244*0.935 - F244*500) / (1.025*(1+$P$2/100)) &lt;= F244*500/0.15,ROUND(MAX(0, (B244*0.935 - F244*500) / (1.025*(1+$P$2/100))),0),ROUND(MAX(0, B244*0.935 / (1.175*(1+$P$2/100))),0))</f>
        <v/>
      </c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2.75" customHeight="1" s="46">
      <c r="A245" s="15" t="inlineStr">
        <is>
          <t>боевой шест (магистр)</t>
        </is>
      </c>
      <c r="B245" s="60" t="n">
        <v>291982</v>
      </c>
      <c r="C245" s="16" t="n">
        <v>0</v>
      </c>
      <c r="D245" s="16" t="n">
        <v>6</v>
      </c>
      <c r="E245" s="10" t="inlineStr">
        <is>
          <t>0.75</t>
        </is>
      </c>
      <c r="F245" s="12" t="n">
        <v>22.8</v>
      </c>
      <c r="G245" s="18" t="n">
        <v>234995</v>
      </c>
      <c r="H245" s="12" t="n">
        <v>56987</v>
      </c>
      <c r="I245" s="6" t="n"/>
      <c r="J245" s="6">
        <f>IF((B245*0.935 - F245*500) / (1.025*(1+$P$2/100)) &lt;= F245*500/0.15,ROUND(MAX(0, (B245*0.935 - F245*500) / (1.025*(1+$P$2/100))),0),ROUND(MAX(0, B245*0.935 / (1.175*(1+$P$2/100))),0))</f>
        <v/>
      </c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2.75" customHeight="1" s="46">
      <c r="A246" s="17" t="inlineStr">
        <is>
          <t>боевой шест (старейшина)</t>
        </is>
      </c>
      <c r="B246" s="60" t="n">
        <v>734384</v>
      </c>
      <c r="C246" s="16" t="n">
        <v>0</v>
      </c>
      <c r="D246" s="16" t="n">
        <v>3</v>
      </c>
      <c r="E246" s="10" t="inlineStr">
        <is>
          <t>0.75</t>
        </is>
      </c>
      <c r="F246" s="12" t="n">
        <v>34.2</v>
      </c>
      <c r="G246" s="18" t="n">
        <v>609995</v>
      </c>
      <c r="H246" s="12" t="n">
        <v>124389</v>
      </c>
      <c r="I246" s="6" t="n"/>
      <c r="J246" s="6">
        <f>IF((B246*0.935 - F246*500) / (1.025*(1+$P$2/100)) &lt;= F246*500/0.15,ROUND(MAX(0, (B246*0.935 - F246*500) / (1.025*(1+$P$2/100))),0),ROUND(MAX(0, B246*0.935 / (1.175*(1+$P$2/100))),0))</f>
        <v/>
      </c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2.75" customHeight="1" s="46">
      <c r="A247" s="7" t="inlineStr">
        <is>
          <t>железный посох (знаток)</t>
        </is>
      </c>
      <c r="B247" s="60" t="n">
        <v>23985</v>
      </c>
      <c r="C247" s="9" t="n">
        <v>0</v>
      </c>
      <c r="D247" s="9" t="n">
        <v>100</v>
      </c>
      <c r="E247" s="10" t="inlineStr">
        <is>
          <t>0.55</t>
        </is>
      </c>
      <c r="F247" s="12" t="n">
        <v>6.8</v>
      </c>
      <c r="G247" s="18" t="n">
        <v>24495</v>
      </c>
      <c r="H247" s="12" t="n">
        <v>-510</v>
      </c>
      <c r="I247" s="6" t="n"/>
      <c r="J247" s="6">
        <f>IF((B247*0.935 - F247*500) / (1.025*(1+$P$2/100)) &lt;= F247*500/0.15,ROUND(MAX(0, (B247*0.935 - F247*500) / (1.025*(1+$P$2/100))),0),ROUND(MAX(0, B247*0.935 / (1.175*(1+$P$2/100))),0))</f>
        <v/>
      </c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2.75" customHeight="1" s="46">
      <c r="A248" s="13" t="inlineStr">
        <is>
          <t>железный посох (эксперт)</t>
        </is>
      </c>
      <c r="B248" s="60" t="n">
        <v>33724</v>
      </c>
      <c r="C248" s="9" t="n">
        <v>0</v>
      </c>
      <c r="D248" s="9" t="n">
        <v>70</v>
      </c>
      <c r="E248" s="10" t="inlineStr">
        <is>
          <t>0.70</t>
        </is>
      </c>
      <c r="F248" s="12" t="n">
        <v>10.1</v>
      </c>
      <c r="G248" s="18" t="n">
        <v>22991</v>
      </c>
      <c r="H248" s="12" t="n">
        <v>10733</v>
      </c>
      <c r="I248" s="6" t="n"/>
      <c r="J248" s="6">
        <f>IF((B248*0.935 - F248*500) / (1.025*(1+$P$2/100)) &lt;= F248*500/0.15,ROUND(MAX(0, (B248*0.935 - F248*500) / (1.025*(1+$P$2/100))),0),ROUND(MAX(0, B248*0.935 / (1.175*(1+$P$2/100))),0))</f>
        <v/>
      </c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</row>
    <row r="249" ht="12.75" customHeight="1" s="46">
      <c r="A249" s="14" t="inlineStr">
        <is>
          <t>железный посох (мастер)</t>
        </is>
      </c>
      <c r="B249" s="60" t="n">
        <v>117457</v>
      </c>
      <c r="C249" s="9" t="n">
        <v>0</v>
      </c>
      <c r="D249" s="9" t="n">
        <v>35</v>
      </c>
      <c r="E249" s="10" t="inlineStr">
        <is>
          <t>0.80</t>
        </is>
      </c>
      <c r="F249" s="12" t="n">
        <v>15.2</v>
      </c>
      <c r="G249" s="18" t="n">
        <v>88999</v>
      </c>
      <c r="H249" s="12" t="n">
        <v>28458</v>
      </c>
      <c r="I249" s="6" t="n"/>
      <c r="J249" s="6">
        <f>IF((B249*0.935 - F249*500) / (1.025*(1+$P$2/100)) &lt;= F249*500/0.15,ROUND(MAX(0, (B249*0.935 - F249*500) / (1.025*(1+$P$2/100))),0),ROUND(MAX(0, B249*0.935 / (1.175*(1+$P$2/100))),0))</f>
        <v/>
      </c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</row>
    <row r="250" ht="12.75" customHeight="1" s="46">
      <c r="A250" s="15" t="inlineStr">
        <is>
          <t>железный посох (магистр)</t>
        </is>
      </c>
      <c r="B250" s="60" t="n">
        <v>293552</v>
      </c>
      <c r="C250" s="16" t="n">
        <v>0</v>
      </c>
      <c r="D250" s="16" t="n">
        <v>6</v>
      </c>
      <c r="E250" s="10" t="inlineStr">
        <is>
          <t>0.75</t>
        </is>
      </c>
      <c r="F250" s="12" t="n">
        <v>22.8</v>
      </c>
      <c r="G250" s="18" t="n">
        <v>210000</v>
      </c>
      <c r="H250" s="12" t="n">
        <v>83552</v>
      </c>
      <c r="I250" s="6" t="n"/>
      <c r="J250" s="6">
        <f>IF((B250*0.935 - F250*500) / (1.025*(1+$P$2/100)) &lt;= F250*500/0.15,ROUND(MAX(0, (B250*0.935 - F250*500) / (1.025*(1+$P$2/100))),0),ROUND(MAX(0, B250*0.935 / (1.175*(1+$P$2/100))),0))</f>
        <v/>
      </c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</row>
    <row r="251" ht="12.75" customHeight="1" s="46">
      <c r="A251" s="17" t="inlineStr">
        <is>
          <t>железный посох (старейшина)</t>
        </is>
      </c>
      <c r="B251" s="60" t="n">
        <v>613370</v>
      </c>
      <c r="C251" s="16" t="n">
        <v>0</v>
      </c>
      <c r="D251" s="16" t="n">
        <v>3</v>
      </c>
      <c r="E251" s="10" t="inlineStr">
        <is>
          <t>0.75</t>
        </is>
      </c>
      <c r="F251" s="12" t="n">
        <v>34.2</v>
      </c>
      <c r="G251" s="18" t="n">
        <v>554989</v>
      </c>
      <c r="H251" s="12" t="n">
        <v>58381</v>
      </c>
      <c r="I251" s="6" t="n"/>
      <c r="J251" s="6">
        <f>IF((B251*0.935 - F251*500) / (1.025*(1+$P$2/100)) &lt;= F251*500/0.15,ROUND(MAX(0, (B251*0.935 - F251*500) / (1.025*(1+$P$2/100))),0),ROUND(MAX(0, B251*0.935 / (1.175*(1+$P$2/100))),0))</f>
        <v/>
      </c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</row>
    <row r="252" ht="12.75" customHeight="1" s="46">
      <c r="A252" s="7" t="inlineStr">
        <is>
          <t>острый шест (знаток)</t>
        </is>
      </c>
      <c r="B252" s="60" t="n">
        <v>13994</v>
      </c>
      <c r="C252" s="9" t="n">
        <v>0</v>
      </c>
      <c r="D252" s="9" t="n">
        <v>100</v>
      </c>
      <c r="E252" s="10" t="inlineStr">
        <is>
          <t>0.55</t>
        </is>
      </c>
      <c r="F252" s="12" t="n">
        <v>6.8</v>
      </c>
      <c r="G252" s="18" t="n">
        <v>17000</v>
      </c>
      <c r="H252" s="12" t="n">
        <v>-3006</v>
      </c>
      <c r="I252" s="6" t="n"/>
      <c r="J252" s="6">
        <f>IF((B252*0.935 - F252*500) / (1.025*(1+$P$2/100)) &lt;= F252*500/0.15,ROUND(MAX(0, (B252*0.935 - F252*500) / (1.025*(1+$P$2/100))),0),ROUND(MAX(0, B252*0.935 / (1.175*(1+$P$2/100))),0))</f>
        <v/>
      </c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</row>
    <row r="253" ht="12.75" customHeight="1" s="46">
      <c r="A253" s="13" t="inlineStr">
        <is>
          <t>острый шест (эксперт)</t>
        </is>
      </c>
      <c r="B253" s="60" t="n">
        <v>36952</v>
      </c>
      <c r="C253" s="9" t="n">
        <v>0</v>
      </c>
      <c r="D253" s="9" t="n">
        <v>70</v>
      </c>
      <c r="E253" s="10" t="inlineStr">
        <is>
          <t>0.70</t>
        </is>
      </c>
      <c r="F253" s="12" t="n">
        <v>10.1</v>
      </c>
      <c r="G253" s="18" t="n">
        <v>22553</v>
      </c>
      <c r="H253" s="12" t="n">
        <v>14399</v>
      </c>
      <c r="I253" s="6" t="n"/>
      <c r="J253" s="6">
        <f>IF((B253*0.935 - F253*500) / (1.025*(1+$P$2/100)) &lt;= F253*500/0.15,ROUND(MAX(0, (B253*0.935 - F253*500) / (1.025*(1+$P$2/100))),0),ROUND(MAX(0, B253*0.935 / (1.175*(1+$P$2/100))),0))</f>
        <v/>
      </c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</row>
    <row r="254" ht="12.75" customHeight="1" s="46">
      <c r="A254" s="14" t="inlineStr">
        <is>
          <t>острый шест (мастер)</t>
        </is>
      </c>
      <c r="B254" s="60" t="n">
        <v>115558</v>
      </c>
      <c r="C254" s="9" t="n">
        <v>0</v>
      </c>
      <c r="D254" s="9" t="n">
        <v>35</v>
      </c>
      <c r="E254" s="10" t="inlineStr">
        <is>
          <t>0.80</t>
        </is>
      </c>
      <c r="F254" s="12" t="n">
        <v>15.2</v>
      </c>
      <c r="G254" s="18" t="n">
        <v>69998</v>
      </c>
      <c r="H254" s="12" t="n">
        <v>45560</v>
      </c>
      <c r="I254" s="6" t="n"/>
      <c r="J254" s="6">
        <f>IF((B254*0.935 - F254*500) / (1.025*(1+$P$2/100)) &lt;= F254*500/0.15,ROUND(MAX(0, (B254*0.935 - F254*500) / (1.025*(1+$P$2/100))),0),ROUND(MAX(0, B254*0.935 / (1.175*(1+$P$2/100))),0))</f>
        <v/>
      </c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</row>
    <row r="255" ht="12.75" customHeight="1" s="46">
      <c r="A255" s="15" t="inlineStr">
        <is>
          <t>острый шест (магистр)</t>
        </is>
      </c>
      <c r="B255" s="60" t="n">
        <v>279963</v>
      </c>
      <c r="C255" s="16" t="n">
        <v>0</v>
      </c>
      <c r="D255" s="16" t="n">
        <v>6</v>
      </c>
      <c r="E255" s="10" t="inlineStr">
        <is>
          <t>0.75</t>
        </is>
      </c>
      <c r="F255" s="12" t="n">
        <v>22.8</v>
      </c>
      <c r="G255" s="18" t="n">
        <v>227983</v>
      </c>
      <c r="H255" s="12" t="n">
        <v>51980</v>
      </c>
      <c r="I255" s="6" t="n"/>
      <c r="J255" s="6">
        <f>IF((B255*0.935 - F255*500) / (1.025*(1+$P$2/100)) &lt;= F255*500/0.15,ROUND(MAX(0, (B255*0.935 - F255*500) / (1.025*(1+$P$2/100))),0),ROUND(MAX(0, B255*0.935 / (1.175*(1+$P$2/100))),0))</f>
        <v/>
      </c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</row>
    <row r="256" ht="12.75" customHeight="1" s="46">
      <c r="A256" s="17" t="inlineStr">
        <is>
          <t>острый шест (старейшина)</t>
        </is>
      </c>
      <c r="B256" s="60" t="n">
        <v>703308</v>
      </c>
      <c r="C256" s="16" t="n">
        <v>0</v>
      </c>
      <c r="D256" s="16" t="n">
        <v>3</v>
      </c>
      <c r="E256" s="10" t="inlineStr">
        <is>
          <t>0.75</t>
        </is>
      </c>
      <c r="F256" s="12" t="n">
        <v>34.2</v>
      </c>
      <c r="G256" s="18" t="n">
        <v>577800</v>
      </c>
      <c r="H256" s="12" t="n">
        <v>125508</v>
      </c>
      <c r="I256" s="6" t="n"/>
      <c r="J256" s="6">
        <f>IF((B256*0.935 - F256*500) / (1.025*(1+$P$2/100)) &lt;= F256*500/0.15,ROUND(MAX(0, (B256*0.935 - F256*500) / (1.025*(1+$P$2/100))),0),ROUND(MAX(0, B256*0.935 / (1.175*(1+$P$2/100))),0))</f>
        <v/>
      </c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</row>
    <row r="257" ht="12.75" customHeight="1" s="46">
      <c r="A257" s="7" t="inlineStr">
        <is>
          <t>копье (знаток)</t>
        </is>
      </c>
      <c r="B257" s="55" t="n">
        <v>5296</v>
      </c>
      <c r="C257" s="9" t="n">
        <v>0</v>
      </c>
      <c r="D257" s="9" t="n">
        <v>100</v>
      </c>
      <c r="E257" s="10" t="inlineStr">
        <is>
          <t>0.55</t>
        </is>
      </c>
      <c r="F257" s="12" t="n">
        <v>5.1</v>
      </c>
      <c r="G257" s="18" t="n">
        <v>2496</v>
      </c>
      <c r="H257" s="12" t="n">
        <v>2800</v>
      </c>
      <c r="I257" s="6" t="n"/>
      <c r="J257" s="6">
        <f>IF((B257*0.935 - F257*500) / (1.025*(1+$P$2/100)) &lt;= F257*500/0.15,ROUND(MAX(0, (B257*0.935 - F257*500) / (1.025*(1+$P$2/100))),0),ROUND(MAX(0, B257*0.935 / (1.175*(1+$P$2/100))),0))</f>
        <v/>
      </c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</row>
    <row r="258" ht="12.75" customHeight="1" s="46">
      <c r="A258" s="13" t="inlineStr">
        <is>
          <t>копье (эксперт)</t>
        </is>
      </c>
      <c r="B258" s="55" t="n">
        <v>15987</v>
      </c>
      <c r="C258" s="9" t="n">
        <v>0</v>
      </c>
      <c r="D258" s="9" t="n">
        <v>70</v>
      </c>
      <c r="E258" s="10" t="inlineStr">
        <is>
          <t>0.70</t>
        </is>
      </c>
      <c r="F258" s="12" t="n">
        <v>7.6</v>
      </c>
      <c r="G258" s="18" t="n">
        <v>10493</v>
      </c>
      <c r="H258" s="12" t="n">
        <v>5494</v>
      </c>
      <c r="I258" s="6" t="n"/>
      <c r="J258" s="6">
        <f>IF((B258*0.935 - F258*500) / (1.025*(1+$P$2/100)) &lt;= F258*500/0.15,ROUND(MAX(0, (B258*0.935 - F258*500) / (1.025*(1+$P$2/100))),0),ROUND(MAX(0, B258*0.935 / (1.175*(1+$P$2/100))),0))</f>
        <v/>
      </c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</row>
    <row r="259" ht="12.75" customHeight="1" s="46">
      <c r="A259" s="14" t="inlineStr">
        <is>
          <t>копье (мастер)</t>
        </is>
      </c>
      <c r="B259" s="55" t="n">
        <v>43740</v>
      </c>
      <c r="C259" s="9" t="n">
        <v>0</v>
      </c>
      <c r="D259" s="9" t="n">
        <v>35</v>
      </c>
      <c r="E259" s="10" t="inlineStr">
        <is>
          <t>0.80</t>
        </is>
      </c>
      <c r="F259" s="12" t="n">
        <v>11.4</v>
      </c>
      <c r="G259" s="18" t="n">
        <v>37500</v>
      </c>
      <c r="H259" s="12" t="n">
        <v>6240</v>
      </c>
      <c r="I259" s="6" t="n"/>
      <c r="J259" s="6">
        <f>IF((B259*0.935 - F259*500) / (1.025*(1+$P$2/100)) &lt;= F259*500/0.15,ROUND(MAX(0, (B259*0.935 - F259*500) / (1.025*(1+$P$2/100))),0),ROUND(MAX(0, B259*0.935 / (1.175*(1+$P$2/100))),0))</f>
        <v/>
      </c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</row>
    <row r="260" ht="12.75" customHeight="1" s="46">
      <c r="A260" s="15" t="inlineStr">
        <is>
          <t>копье (магистр)</t>
        </is>
      </c>
      <c r="B260" s="55" t="n">
        <v>173455</v>
      </c>
      <c r="C260" s="16" t="n">
        <v>0</v>
      </c>
      <c r="D260" s="16" t="n">
        <v>6</v>
      </c>
      <c r="E260" s="10" t="inlineStr">
        <is>
          <t>0.75</t>
        </is>
      </c>
      <c r="F260" s="12" t="n">
        <v>17.1</v>
      </c>
      <c r="G260" s="18" t="n">
        <v>130000</v>
      </c>
      <c r="H260" s="12" t="n">
        <v>43455</v>
      </c>
      <c r="I260" s="6" t="n"/>
      <c r="J260" s="6">
        <f>IF((B260*0.935 - F260*500) / (1.025*(1+$P$2/100)) &lt;= F260*500/0.15,ROUND(MAX(0, (B260*0.935 - F260*500) / (1.025*(1+$P$2/100))),0),ROUND(MAX(0, B260*0.935 / (1.175*(1+$P$2/100))),0))</f>
        <v/>
      </c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</row>
    <row r="261" ht="12.75" customHeight="1" s="46">
      <c r="A261" s="17" t="inlineStr">
        <is>
          <t>копье (старейшина)</t>
        </is>
      </c>
      <c r="B261" s="55" t="n">
        <v>570000</v>
      </c>
      <c r="C261" s="16" t="n">
        <v>0</v>
      </c>
      <c r="D261" s="16" t="n">
        <v>3</v>
      </c>
      <c r="E261" s="10" t="inlineStr">
        <is>
          <t>0.75</t>
        </is>
      </c>
      <c r="F261" s="12" t="n">
        <v>25.6</v>
      </c>
      <c r="G261" s="18" t="n">
        <v>548888</v>
      </c>
      <c r="H261" s="12" t="n">
        <v>21112</v>
      </c>
      <c r="I261" s="6" t="n"/>
      <c r="J261" s="6">
        <f>IF((B261*0.935 - F261*500) / (1.025*(1+$P$2/100)) &lt;= F261*500/0.15,ROUND(MAX(0, (B261*0.935 - F261*500) / (1.025*(1+$P$2/100))),0),ROUND(MAX(0, B261*0.935 / (1.175*(1+$P$2/100))),0))</f>
        <v/>
      </c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</row>
    <row r="262" ht="12.75" customHeight="1" s="46">
      <c r="A262" s="7" t="inlineStr">
        <is>
          <t>пика (знаток)</t>
        </is>
      </c>
      <c r="B262" s="56" t="n">
        <v>10992</v>
      </c>
      <c r="C262" s="9" t="n">
        <v>0</v>
      </c>
      <c r="D262" s="9" t="n">
        <v>100</v>
      </c>
      <c r="E262" s="10" t="inlineStr">
        <is>
          <t>0.55</t>
        </is>
      </c>
      <c r="F262" s="12" t="n">
        <v>6.8</v>
      </c>
      <c r="G262" s="18" t="n">
        <v>4769</v>
      </c>
      <c r="H262" s="12" t="n">
        <v>6223</v>
      </c>
      <c r="I262" s="6" t="n"/>
      <c r="J262" s="6">
        <f>IF((B262*0.935 - F262*500) / (1.025*(1+$P$2/100)) &lt;= F262*500/0.15,ROUND(MAX(0, (B262*0.935 - F262*500) / (1.025*(1+$P$2/100))),0),ROUND(MAX(0, B262*0.935 / (1.175*(1+$P$2/100))),0))</f>
        <v/>
      </c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</row>
    <row r="263" ht="12.75" customHeight="1" s="46">
      <c r="A263" s="13" t="inlineStr">
        <is>
          <t>пика (эксперт)</t>
        </is>
      </c>
      <c r="B263" s="56" t="n">
        <v>26496</v>
      </c>
      <c r="C263" s="9" t="n">
        <v>0</v>
      </c>
      <c r="D263" s="9" t="n">
        <v>70</v>
      </c>
      <c r="E263" s="10" t="inlineStr">
        <is>
          <t>0.70</t>
        </is>
      </c>
      <c r="F263" s="12" t="n">
        <v>10.1</v>
      </c>
      <c r="G263" s="18" t="n">
        <v>16999</v>
      </c>
      <c r="H263" s="12" t="n">
        <v>9497</v>
      </c>
      <c r="I263" s="6" t="n"/>
      <c r="J263" s="6">
        <f>IF((B263*0.935 - F263*500) / (1.025*(1+$P$2/100)) &lt;= F263*500/0.15,ROUND(MAX(0, (B263*0.935 - F263*500) / (1.025*(1+$P$2/100))),0),ROUND(MAX(0, B263*0.935 / (1.175*(1+$P$2/100))),0))</f>
        <v/>
      </c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</row>
    <row r="264" ht="12.75" customHeight="1" s="46">
      <c r="A264" s="14" t="inlineStr">
        <is>
          <t>пика (мастер)</t>
        </is>
      </c>
      <c r="B264" s="56" t="n">
        <v>76500</v>
      </c>
      <c r="C264" s="9" t="n">
        <v>0</v>
      </c>
      <c r="D264" s="9" t="n">
        <v>35</v>
      </c>
      <c r="E264" s="10" t="inlineStr">
        <is>
          <t>0.80</t>
        </is>
      </c>
      <c r="F264" s="12" t="n">
        <v>15.2</v>
      </c>
      <c r="G264" s="18" t="n">
        <v>54996</v>
      </c>
      <c r="H264" s="12" t="n">
        <v>21504</v>
      </c>
      <c r="I264" s="6" t="n"/>
      <c r="J264" s="6">
        <f>IF((B264*0.935 - F264*500) / (1.025*(1+$P$2/100)) &lt;= F264*500/0.15,ROUND(MAX(0, (B264*0.935 - F264*500) / (1.025*(1+$P$2/100))),0),ROUND(MAX(0, B264*0.935 / (1.175*(1+$P$2/100))),0))</f>
        <v/>
      </c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</row>
    <row r="265" ht="12.75" customHeight="1" s="46">
      <c r="A265" s="15" t="inlineStr">
        <is>
          <t>пика (магистр)</t>
        </is>
      </c>
      <c r="B265" s="56" t="n">
        <v>210957</v>
      </c>
      <c r="C265" s="16" t="n">
        <v>0</v>
      </c>
      <c r="D265" s="16" t="n">
        <v>6</v>
      </c>
      <c r="E265" s="10" t="inlineStr">
        <is>
          <t>0.75</t>
        </is>
      </c>
      <c r="F265" s="12" t="n">
        <v>22.8</v>
      </c>
      <c r="G265" s="18" t="n">
        <v>168973</v>
      </c>
      <c r="H265" s="12" t="n">
        <v>41984</v>
      </c>
      <c r="I265" s="6" t="n"/>
      <c r="J265" s="6">
        <f>IF((B265*0.935 - F265*500) / (1.025*(1+$P$2/100)) &lt;= F265*500/0.15,ROUND(MAX(0, (B265*0.935 - F265*500) / (1.025*(1+$P$2/100))),0),ROUND(MAX(0, B265*0.935 / (1.175*(1+$P$2/100))),0))</f>
        <v/>
      </c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</row>
    <row r="266" ht="12.75" customHeight="1" s="46">
      <c r="A266" s="17" t="inlineStr">
        <is>
          <t>пика (старейшина)</t>
        </is>
      </c>
      <c r="B266" s="56" t="n">
        <v>630000</v>
      </c>
      <c r="C266" s="16" t="n">
        <v>0</v>
      </c>
      <c r="D266" s="16" t="n">
        <v>3</v>
      </c>
      <c r="E266" s="10" t="inlineStr">
        <is>
          <t>0.75</t>
        </is>
      </c>
      <c r="F266" s="12" t="n">
        <v>34.2</v>
      </c>
      <c r="G266" s="18" t="n">
        <v>526961</v>
      </c>
      <c r="H266" s="12" t="n">
        <v>103039</v>
      </c>
      <c r="I266" s="6" t="n"/>
      <c r="J266" s="6">
        <f>IF((B266*0.935 - F266*500) / (1.025*(1+$P$2/100)) &lt;= F266*500/0.15,ROUND(MAX(0, (B266*0.935 - F266*500) / (1.025*(1+$P$2/100))),0),ROUND(MAX(0, B266*0.935 / (1.175*(1+$P$2/100))),0))</f>
        <v/>
      </c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</row>
    <row r="267" ht="12.75" customHeight="1" s="46">
      <c r="A267" s="7" t="inlineStr">
        <is>
          <t>глефа (знаток)</t>
        </is>
      </c>
      <c r="B267" s="57" t="n">
        <v>11197</v>
      </c>
      <c r="C267" s="9" t="n">
        <v>0</v>
      </c>
      <c r="D267" s="9" t="n">
        <v>100</v>
      </c>
      <c r="E267" s="10" t="inlineStr">
        <is>
          <t>0.55</t>
        </is>
      </c>
      <c r="F267" s="12" t="n">
        <v>6.8</v>
      </c>
      <c r="G267" s="18" t="n">
        <v>7581</v>
      </c>
      <c r="H267" s="12" t="n">
        <v>3616</v>
      </c>
      <c r="I267" s="6" t="n"/>
      <c r="J267" s="6">
        <f>IF((B267*0.935 - F267*500) / (1.025*(1+$P$2/100)) &lt;= F267*500/0.15,ROUND(MAX(0, (B267*0.935 - F267*500) / (1.025*(1+$P$2/100))),0),ROUND(MAX(0, B267*0.935 / (1.175*(1+$P$2/100))),0))</f>
        <v/>
      </c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</row>
    <row r="268" ht="12.75" customHeight="1" s="46">
      <c r="A268" s="13" t="inlineStr">
        <is>
          <t>глефа (эксперт)</t>
        </is>
      </c>
      <c r="B268" s="57" t="n">
        <v>26415</v>
      </c>
      <c r="C268" s="9" t="n">
        <v>0</v>
      </c>
      <c r="D268" s="9" t="n">
        <v>70</v>
      </c>
      <c r="E268" s="10" t="inlineStr">
        <is>
          <t>0.70</t>
        </is>
      </c>
      <c r="F268" s="12" t="n">
        <v>10.1</v>
      </c>
      <c r="G268" s="18" t="n">
        <v>15990</v>
      </c>
      <c r="H268" s="12" t="n">
        <v>10425</v>
      </c>
      <c r="I268" s="6" t="n"/>
      <c r="J268" s="6">
        <f>IF((B268*0.935 - F268*500) / (1.025*(1+$P$2/100)) &lt;= F268*500/0.15,ROUND(MAX(0, (B268*0.935 - F268*500) / (1.025*(1+$P$2/100))),0),ROUND(MAX(0, B268*0.935 / (1.175*(1+$P$2/100))),0))</f>
        <v/>
      </c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</row>
    <row r="269" ht="12.75" customHeight="1" s="46">
      <c r="A269" s="14" t="inlineStr">
        <is>
          <t>глефа (мастер)</t>
        </is>
      </c>
      <c r="B269" s="57" t="n">
        <v>72923</v>
      </c>
      <c r="C269" s="9" t="n">
        <v>0</v>
      </c>
      <c r="D269" s="9" t="n">
        <v>35</v>
      </c>
      <c r="E269" s="10" t="inlineStr">
        <is>
          <t>0.80</t>
        </is>
      </c>
      <c r="F269" s="12" t="n">
        <v>15.2</v>
      </c>
      <c r="G269" s="18" t="n">
        <v>43999</v>
      </c>
      <c r="H269" s="12" t="n">
        <v>28924</v>
      </c>
      <c r="I269" s="6" t="n"/>
      <c r="J269" s="6">
        <f>IF((B269*0.935 - F269*500) / (1.025*(1+$P$2/100)) &lt;= F269*500/0.15,ROUND(MAX(0, (B269*0.935 - F269*500) / (1.025*(1+$P$2/100))),0),ROUND(MAX(0, B269*0.935 / (1.175*(1+$P$2/100))),0))</f>
        <v/>
      </c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</row>
    <row r="270" ht="12.75" customHeight="1" s="46">
      <c r="A270" s="15" t="inlineStr">
        <is>
          <t>глефа (магистр)</t>
        </is>
      </c>
      <c r="B270" s="57" t="n">
        <v>210995</v>
      </c>
      <c r="C270" s="16" t="n">
        <v>0</v>
      </c>
      <c r="D270" s="16" t="n">
        <v>6</v>
      </c>
      <c r="E270" s="10" t="inlineStr">
        <is>
          <t>0.75</t>
        </is>
      </c>
      <c r="F270" s="12" t="n">
        <v>22.8</v>
      </c>
      <c r="G270" s="18" t="n">
        <v>179993</v>
      </c>
      <c r="H270" s="12" t="n">
        <v>31002</v>
      </c>
      <c r="I270" s="6" t="n"/>
      <c r="J270" s="6">
        <f>IF((B270*0.935 - F270*500) / (1.025*(1+$P$2/100)) &lt;= F270*500/0.15,ROUND(MAX(0, (B270*0.935 - F270*500) / (1.025*(1+$P$2/100))),0),ROUND(MAX(0, B270*0.935 / (1.175*(1+$P$2/100))),0))</f>
        <v/>
      </c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</row>
    <row r="271" ht="12.75" customHeight="1" s="46">
      <c r="A271" s="17" t="inlineStr">
        <is>
          <t>глефа (старейшина)</t>
        </is>
      </c>
      <c r="B271" s="57" t="n">
        <v>612314</v>
      </c>
      <c r="C271" s="16" t="n">
        <v>0</v>
      </c>
      <c r="D271" s="16" t="n">
        <v>3</v>
      </c>
      <c r="E271" s="10" t="inlineStr">
        <is>
          <t>0.75</t>
        </is>
      </c>
      <c r="F271" s="12" t="n">
        <v>34.2</v>
      </c>
      <c r="G271" s="18" t="n">
        <v>527998</v>
      </c>
      <c r="H271" s="12" t="n">
        <v>84316</v>
      </c>
      <c r="I271" s="6" t="n"/>
      <c r="J271" s="6">
        <f>IF((B271*0.935 - F271*500) / (1.025*(1+$P$2/100)) &lt;= F271*500/0.15,ROUND(MAX(0, (B271*0.935 - F271*500) / (1.025*(1+$P$2/100))),0),ROUND(MAX(0, B271*0.935 / (1.175*(1+$P$2/100))),0))</f>
        <v/>
      </c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</row>
    <row r="272" ht="12.75" customHeight="1" s="46">
      <c r="A272" s="7" t="inlineStr">
        <is>
          <t>палаш (знаток)</t>
        </is>
      </c>
      <c r="B272" s="60" t="n">
        <v>6199</v>
      </c>
      <c r="C272" s="9" t="n">
        <v>0</v>
      </c>
      <c r="D272" s="9" t="n">
        <v>100</v>
      </c>
      <c r="E272" s="10" t="inlineStr">
        <is>
          <t>0.55</t>
        </is>
      </c>
      <c r="F272" s="12" t="n">
        <v>5.1</v>
      </c>
      <c r="G272" s="18" t="n">
        <v>2599</v>
      </c>
      <c r="H272" s="12" t="n">
        <v>3600</v>
      </c>
      <c r="I272" s="6" t="n"/>
      <c r="J272" s="6">
        <f>IF((B272*0.935 - F272*500) / (1.025*(1+$P$2/100)) &lt;= F272*500/0.15,ROUND(MAX(0, (B272*0.935 - F272*500) / (1.025*(1+$P$2/100))),0),ROUND(MAX(0, B272*0.935 / (1.175*(1+$P$2/100))),0))</f>
        <v/>
      </c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</row>
    <row r="273" ht="12.75" customHeight="1" s="46">
      <c r="A273" s="13" t="inlineStr">
        <is>
          <t>палаш (эксперт)</t>
        </is>
      </c>
      <c r="B273" s="60" t="n">
        <v>13993</v>
      </c>
      <c r="C273" s="9" t="n">
        <v>0</v>
      </c>
      <c r="D273" s="9" t="n">
        <v>70</v>
      </c>
      <c r="E273" s="10" t="inlineStr">
        <is>
          <t>0.70</t>
        </is>
      </c>
      <c r="F273" s="12" t="n">
        <v>7.6</v>
      </c>
      <c r="G273" s="18" t="n">
        <v>7978</v>
      </c>
      <c r="H273" s="12" t="n">
        <v>6015</v>
      </c>
      <c r="I273" s="6" t="n"/>
      <c r="J273" s="6">
        <f>IF((B273*0.935 - F273*500) / (1.025*(1+$P$2/100)) &lt;= F273*500/0.15,ROUND(MAX(0, (B273*0.935 - F273*500) / (1.025*(1+$P$2/100))),0),ROUND(MAX(0, B273*0.935 / (1.175*(1+$P$2/100))),0))</f>
        <v/>
      </c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</row>
    <row r="274" ht="12.75" customHeight="1" s="46">
      <c r="A274" s="14" t="inlineStr">
        <is>
          <t>палаш (мастер)</t>
        </is>
      </c>
      <c r="B274" s="60" t="n">
        <v>53031</v>
      </c>
      <c r="C274" s="9" t="n">
        <v>0</v>
      </c>
      <c r="D274" s="9" t="n">
        <v>35</v>
      </c>
      <c r="E274" s="10" t="inlineStr">
        <is>
          <t>0.80</t>
        </is>
      </c>
      <c r="F274" s="12" t="n">
        <v>11.4</v>
      </c>
      <c r="G274" s="18" t="n">
        <v>39991</v>
      </c>
      <c r="H274" s="12" t="n">
        <v>13040</v>
      </c>
      <c r="I274" s="6" t="n"/>
      <c r="J274" s="6">
        <f>IF((B274*0.935 - F274*500) / (1.025*(1+$P$2/100)) &lt;= F274*500/0.15,ROUND(MAX(0, (B274*0.935 - F274*500) / (1.025*(1+$P$2/100))),0),ROUND(MAX(0, B274*0.935 / (1.175*(1+$P$2/100))),0))</f>
        <v/>
      </c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</row>
    <row r="275" ht="12.75" customHeight="1" s="46">
      <c r="A275" s="15" t="inlineStr">
        <is>
          <t>палаш (магистр)</t>
        </is>
      </c>
      <c r="B275" s="60" t="n">
        <v>178715</v>
      </c>
      <c r="C275" s="16" t="n">
        <v>0</v>
      </c>
      <c r="D275" s="16" t="n">
        <v>6</v>
      </c>
      <c r="E275" s="10" t="inlineStr">
        <is>
          <t>0.75</t>
        </is>
      </c>
      <c r="F275" s="12" t="n">
        <v>17.1</v>
      </c>
      <c r="G275" s="18" t="n">
        <v>141998</v>
      </c>
      <c r="H275" s="12" t="n">
        <v>36717</v>
      </c>
      <c r="I275" s="6" t="n"/>
      <c r="J275" s="6">
        <f>IF((B275*0.935 - F275*500) / (1.025*(1+$P$2/100)) &lt;= F275*500/0.15,ROUND(MAX(0, (B275*0.935 - F275*500) / (1.025*(1+$P$2/100))),0),ROUND(MAX(0, B275*0.935 / (1.175*(1+$P$2/100))),0))</f>
        <v/>
      </c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</row>
    <row r="276" ht="12.75" customHeight="1" s="46">
      <c r="A276" s="17" t="inlineStr">
        <is>
          <t>палаш (старейшина)</t>
        </is>
      </c>
      <c r="B276" s="60" t="n">
        <v>474384</v>
      </c>
      <c r="C276" s="16" t="n">
        <v>0</v>
      </c>
      <c r="D276" s="16" t="n">
        <v>3</v>
      </c>
      <c r="E276" s="10" t="inlineStr">
        <is>
          <t>0.75</t>
        </is>
      </c>
      <c r="F276" s="12" t="n">
        <v>25.6</v>
      </c>
      <c r="G276" s="18" t="n">
        <v>400990</v>
      </c>
      <c r="H276" s="12" t="n">
        <v>73394</v>
      </c>
      <c r="I276" s="6" t="n"/>
      <c r="J276" s="6">
        <f>IF((B276*0.935 - F276*500) / (1.025*(1+$P$2/100)) &lt;= F276*500/0.15,ROUND(MAX(0, (B276*0.935 - F276*500) / (1.025*(1+$P$2/100))),0),ROUND(MAX(0, B276*0.935 / (1.175*(1+$P$2/100))),0))</f>
        <v/>
      </c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</row>
    <row r="277" ht="12.75" customHeight="1" s="46">
      <c r="A277" s="7" t="inlineStr">
        <is>
          <t>клеймор (знаток)</t>
        </is>
      </c>
      <c r="B277" s="61" t="n">
        <v>10071</v>
      </c>
      <c r="C277" s="9" t="n">
        <v>0</v>
      </c>
      <c r="D277" s="9" t="n">
        <v>100</v>
      </c>
      <c r="E277" s="10" t="inlineStr">
        <is>
          <t>0.55</t>
        </is>
      </c>
      <c r="F277" s="12" t="n">
        <v>6.8</v>
      </c>
      <c r="G277" s="18" t="n">
        <v>4479</v>
      </c>
      <c r="H277" s="12" t="n">
        <v>5592</v>
      </c>
      <c r="I277" s="6" t="n"/>
      <c r="J277" s="6">
        <f>IF((B277*0.935 - F277*500) / (1.025*(1+$P$2/100)) &lt;= F277*500/0.15,ROUND(MAX(0, (B277*0.935 - F277*500) / (1.025*(1+$P$2/100))),0),ROUND(MAX(0, B277*0.935 / (1.175*(1+$P$2/100))),0))</f>
        <v/>
      </c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</row>
    <row r="278" ht="12.75" customHeight="1" s="46">
      <c r="A278" s="13" t="inlineStr">
        <is>
          <t>клеймор (эксперт)</t>
        </is>
      </c>
      <c r="B278" s="61" t="n">
        <v>26377</v>
      </c>
      <c r="C278" s="9" t="n">
        <v>0</v>
      </c>
      <c r="D278" s="9" t="n">
        <v>70</v>
      </c>
      <c r="E278" s="10" t="inlineStr">
        <is>
          <t>0.70</t>
        </is>
      </c>
      <c r="F278" s="12" t="n">
        <v>10.1</v>
      </c>
      <c r="G278" s="18" t="n">
        <v>16000</v>
      </c>
      <c r="H278" s="12" t="n">
        <v>10377</v>
      </c>
      <c r="I278" s="6" t="n"/>
      <c r="J278" s="6">
        <f>IF((B278*0.935 - F278*500) / (1.025*(1+$P$2/100)) &lt;= F278*500/0.15,ROUND(MAX(0, (B278*0.935 - F278*500) / (1.025*(1+$P$2/100))),0),ROUND(MAX(0, B278*0.935 / (1.175*(1+$P$2/100))),0))</f>
        <v/>
      </c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</row>
    <row r="279" ht="12.75" customHeight="1" s="46">
      <c r="A279" s="14" t="inlineStr">
        <is>
          <t>клеймор (мастер)</t>
        </is>
      </c>
      <c r="B279" s="61" t="n">
        <v>78994</v>
      </c>
      <c r="C279" s="9" t="n">
        <v>0</v>
      </c>
      <c r="D279" s="9" t="n">
        <v>35</v>
      </c>
      <c r="E279" s="10" t="inlineStr">
        <is>
          <t>0.80</t>
        </is>
      </c>
      <c r="F279" s="12" t="n">
        <v>15.2</v>
      </c>
      <c r="G279" s="18" t="n">
        <v>69477</v>
      </c>
      <c r="H279" s="12" t="n">
        <v>9517</v>
      </c>
      <c r="I279" s="6" t="n"/>
      <c r="J279" s="6">
        <f>IF((B279*0.935 - F279*500) / (1.025*(1+$P$2/100)) &lt;= F279*500/0.15,ROUND(MAX(0, (B279*0.935 - F279*500) / (1.025*(1+$P$2/100))),0),ROUND(MAX(0, B279*0.935 / (1.175*(1+$P$2/100))),0))</f>
        <v/>
      </c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</row>
    <row r="280" ht="12.75" customHeight="1" s="46">
      <c r="A280" s="15" t="inlineStr">
        <is>
          <t>клеймор (магистр)</t>
        </is>
      </c>
      <c r="B280" s="61" t="n">
        <v>222189</v>
      </c>
      <c r="C280" s="16" t="n">
        <v>0</v>
      </c>
      <c r="D280" s="16" t="n">
        <v>6</v>
      </c>
      <c r="E280" s="10" t="inlineStr">
        <is>
          <t>0.75</t>
        </is>
      </c>
      <c r="F280" s="12" t="n">
        <v>22.8</v>
      </c>
      <c r="G280" s="18" t="n">
        <v>199993</v>
      </c>
      <c r="H280" s="12" t="n">
        <v>22196</v>
      </c>
      <c r="I280" s="6" t="n"/>
      <c r="J280" s="6">
        <f>IF((B280*0.935 - F280*500) / (1.025*(1+$P$2/100)) &lt;= F280*500/0.15,ROUND(MAX(0, (B280*0.935 - F280*500) / (1.025*(1+$P$2/100))),0),ROUND(MAX(0, B280*0.935 / (1.175*(1+$P$2/100))),0))</f>
        <v/>
      </c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</row>
    <row r="281" ht="12.75" customHeight="1" s="46">
      <c r="A281" s="17" t="inlineStr">
        <is>
          <t>клеймор (старейшина)</t>
        </is>
      </c>
      <c r="B281" s="61" t="n">
        <v>642196</v>
      </c>
      <c r="C281" s="16" t="n">
        <v>0</v>
      </c>
      <c r="D281" s="16" t="n">
        <v>3</v>
      </c>
      <c r="E281" s="10" t="inlineStr">
        <is>
          <t>0.75</t>
        </is>
      </c>
      <c r="F281" s="12" t="n">
        <v>34.2</v>
      </c>
      <c r="G281" s="18" t="n">
        <v>579990</v>
      </c>
      <c r="H281" s="12" t="n">
        <v>62206</v>
      </c>
      <c r="I281" s="6" t="n"/>
      <c r="J281" s="6">
        <f>IF((B281*0.935 - F281*500) / (1.025*(1+$P$2/100)) &lt;= F281*500/0.15,ROUND(MAX(0, (B281*0.935 - F281*500) / (1.025*(1+$P$2/100))),0),ROUND(MAX(0, B281*0.935 / (1.175*(1+$P$2/100))),0))</f>
        <v/>
      </c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</row>
    <row r="282" ht="12.75" customHeight="1" s="46">
      <c r="A282" s="7" t="inlineStr">
        <is>
          <t>парные мечи (знаток)</t>
        </is>
      </c>
      <c r="B282" s="55" t="n">
        <v>7997</v>
      </c>
      <c r="C282" s="9" t="n">
        <v>0</v>
      </c>
      <c r="D282" s="9" t="n">
        <v>100</v>
      </c>
      <c r="E282" s="10" t="inlineStr">
        <is>
          <t>0.55</t>
        </is>
      </c>
      <c r="F282" s="12" t="n">
        <v>6.8</v>
      </c>
      <c r="G282" s="18" t="n">
        <v>4244</v>
      </c>
      <c r="H282" s="12" t="n">
        <v>3753</v>
      </c>
      <c r="I282" s="6" t="n"/>
      <c r="J282" s="6">
        <f>IF((B282*0.935 - F282*500) / (1.025*(1+$P$2/100)) &lt;= F282*500/0.15,ROUND(MAX(0, (B282*0.935 - F282*500) / (1.025*(1+$P$2/100))),0),ROUND(MAX(0, B282*0.935 / (1.175*(1+$P$2/100))),0))</f>
        <v/>
      </c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</row>
    <row r="283" ht="12.75" customHeight="1" s="46">
      <c r="A283" s="13" t="inlineStr">
        <is>
          <t>парные мечи (эксперт)</t>
        </is>
      </c>
      <c r="B283" s="55" t="n">
        <v>22951</v>
      </c>
      <c r="C283" s="9" t="n">
        <v>0</v>
      </c>
      <c r="D283" s="9" t="n">
        <v>70</v>
      </c>
      <c r="E283" s="10" t="inlineStr">
        <is>
          <t>0.70</t>
        </is>
      </c>
      <c r="F283" s="12" t="n">
        <v>10.1</v>
      </c>
      <c r="G283" s="18" t="n">
        <v>20966</v>
      </c>
      <c r="H283" s="12" t="n">
        <v>1985</v>
      </c>
      <c r="I283" s="6" t="n"/>
      <c r="J283" s="6">
        <f>IF((B283*0.935 - F283*500) / (1.025*(1+$P$2/100)) &lt;= F283*500/0.15,ROUND(MAX(0, (B283*0.935 - F283*500) / (1.025*(1+$P$2/100))),0),ROUND(MAX(0, B283*0.935 / (1.175*(1+$P$2/100))),0))</f>
        <v/>
      </c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</row>
    <row r="284" ht="12.75" customHeight="1" s="46">
      <c r="A284" s="14" t="inlineStr">
        <is>
          <t>парные мечи (мастер)</t>
        </is>
      </c>
      <c r="B284" s="55" t="n">
        <v>77817</v>
      </c>
      <c r="C284" s="9" t="n">
        <v>0</v>
      </c>
      <c r="D284" s="9" t="n">
        <v>35</v>
      </c>
      <c r="E284" s="10" t="inlineStr">
        <is>
          <t>0.80</t>
        </is>
      </c>
      <c r="F284" s="12" t="n">
        <v>15.2</v>
      </c>
      <c r="G284" s="18" t="n">
        <v>63329</v>
      </c>
      <c r="H284" s="12" t="n">
        <v>14488</v>
      </c>
      <c r="I284" s="6" t="n"/>
      <c r="J284" s="6">
        <f>IF((B284*0.935 - F284*500) / (1.025*(1+$P$2/100)) &lt;= F284*500/0.15,ROUND(MAX(0, (B284*0.935 - F284*500) / (1.025*(1+$P$2/100))),0),ROUND(MAX(0, B284*0.935 / (1.175*(1+$P$2/100))),0))</f>
        <v/>
      </c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</row>
    <row r="285" ht="12.75" customHeight="1" s="46">
      <c r="A285" s="15" t="inlineStr">
        <is>
          <t>парные мечи (магистр)</t>
        </is>
      </c>
      <c r="B285" s="55" t="n">
        <v>258979</v>
      </c>
      <c r="C285" s="16" t="n">
        <v>0</v>
      </c>
      <c r="D285" s="16" t="n">
        <v>6</v>
      </c>
      <c r="E285" s="10" t="inlineStr">
        <is>
          <t>0.75</t>
        </is>
      </c>
      <c r="F285" s="12" t="n">
        <v>22.8</v>
      </c>
      <c r="G285" s="18" t="n">
        <v>219996</v>
      </c>
      <c r="H285" s="12" t="n">
        <v>38983</v>
      </c>
      <c r="I285" s="6" t="n"/>
      <c r="J285" s="6">
        <f>IF((B285*0.935 - F285*500) / (1.025*(1+$P$2/100)) &lt;= F285*500/0.15,ROUND(MAX(0, (B285*0.935 - F285*500) / (1.025*(1+$P$2/100))),0),ROUND(MAX(0, B285*0.935 / (1.175*(1+$P$2/100))),0))</f>
        <v/>
      </c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</row>
    <row r="286" ht="12.75" customHeight="1" s="46">
      <c r="A286" s="17" t="inlineStr">
        <is>
          <t>парные мечи (старейшина)</t>
        </is>
      </c>
      <c r="B286" s="55" t="n">
        <v>717758</v>
      </c>
      <c r="C286" s="16" t="n">
        <v>0</v>
      </c>
      <c r="D286" s="16" t="n">
        <v>3</v>
      </c>
      <c r="E286" s="10" t="inlineStr">
        <is>
          <t>0.75</t>
        </is>
      </c>
      <c r="F286" s="12" t="n">
        <v>34.2</v>
      </c>
      <c r="G286" s="18" t="n">
        <v>599996</v>
      </c>
      <c r="H286" s="12" t="n">
        <v>117762</v>
      </c>
      <c r="I286" s="6" t="n"/>
      <c r="J286" s="6">
        <f>IF((B286*0.935 - F286*500) / (1.025*(1+$P$2/100)) &lt;= F286*500/0.15,ROUND(MAX(0, (B286*0.935 - F286*500) / (1.025*(1+$P$2/100))),0),ROUND(MAX(0, B286*0.935 / (1.175*(1+$P$2/100))),0))</f>
        <v/>
      </c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</row>
    <row r="287" ht="12.75" customHeight="1" s="46">
      <c r="A287" s="7" t="inlineStr">
        <is>
          <t>мистический посох (знаток)</t>
        </is>
      </c>
      <c r="B287" s="56" t="n">
        <v>9294</v>
      </c>
      <c r="C287" s="9" t="n">
        <v>0</v>
      </c>
      <c r="D287" s="9" t="n">
        <v>100</v>
      </c>
      <c r="E287" s="10" t="inlineStr">
        <is>
          <t>0.55</t>
        </is>
      </c>
      <c r="F287" s="12" t="n">
        <v>5.1</v>
      </c>
      <c r="G287" s="18" t="n">
        <v>5000</v>
      </c>
      <c r="H287" s="12" t="n">
        <v>4294</v>
      </c>
      <c r="I287" s="6" t="n"/>
      <c r="J287" s="6">
        <f>IF((B287*0.935 - F287*500) / (1.025*(1+$P$2/100)) &lt;= F287*500/0.15,ROUND(MAX(0, (B287*0.935 - F287*500) / (1.025*(1+$P$2/100))),0),ROUND(MAX(0, B287*0.935 / (1.175*(1+$P$2/100))),0))</f>
        <v/>
      </c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</row>
    <row r="288" ht="12.75" customHeight="1" s="46">
      <c r="A288" s="13" t="inlineStr">
        <is>
          <t>мистический посох (эксперт)</t>
        </is>
      </c>
      <c r="B288" s="56" t="n">
        <v>21614</v>
      </c>
      <c r="C288" s="9" t="n">
        <v>0</v>
      </c>
      <c r="D288" s="9" t="n">
        <v>70</v>
      </c>
      <c r="E288" s="10" t="inlineStr">
        <is>
          <t>0.70</t>
        </is>
      </c>
      <c r="F288" s="12" t="n">
        <v>7.6</v>
      </c>
      <c r="G288" s="18" t="n">
        <v>16770</v>
      </c>
      <c r="H288" s="12" t="n">
        <v>4844</v>
      </c>
      <c r="I288" s="6" t="n"/>
      <c r="J288" s="6">
        <f>IF((B288*0.935 - F288*500) / (1.025*(1+$P$2/100)) &lt;= F288*500/0.15,ROUND(MAX(0, (B288*0.935 - F288*500) / (1.025*(1+$P$2/100))),0),ROUND(MAX(0, B288*0.935 / (1.175*(1+$P$2/100))),0))</f>
        <v/>
      </c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</row>
    <row r="289" ht="12.75" customHeight="1" s="46">
      <c r="A289" s="14" t="inlineStr">
        <is>
          <t>мистический посох (мастер)</t>
        </is>
      </c>
      <c r="B289" s="56" t="n">
        <v>58851</v>
      </c>
      <c r="C289" s="9" t="n">
        <v>0</v>
      </c>
      <c r="D289" s="9" t="n">
        <v>35</v>
      </c>
      <c r="E289" s="10" t="inlineStr">
        <is>
          <t>0.80</t>
        </is>
      </c>
      <c r="F289" s="12" t="n">
        <v>11.4</v>
      </c>
      <c r="G289" s="18" t="n">
        <v>45552</v>
      </c>
      <c r="H289" s="12" t="n">
        <v>13299</v>
      </c>
      <c r="I289" s="6" t="n"/>
      <c r="J289" s="6">
        <f>IF((B289*0.935 - F289*500) / (1.025*(1+$P$2/100)) &lt;= F289*500/0.15,ROUND(MAX(0, (B289*0.935 - F289*500) / (1.025*(1+$P$2/100))),0),ROUND(MAX(0, B289*0.935 / (1.175*(1+$P$2/100))),0))</f>
        <v/>
      </c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</row>
    <row r="290" ht="12.75" customHeight="1" s="46">
      <c r="A290" s="15" t="inlineStr">
        <is>
          <t>мистический посох (магистр)</t>
        </is>
      </c>
      <c r="B290" s="56" t="n">
        <v>156708</v>
      </c>
      <c r="C290" s="16" t="n">
        <v>0</v>
      </c>
      <c r="D290" s="16" t="n">
        <v>6</v>
      </c>
      <c r="E290" s="10" t="inlineStr">
        <is>
          <t>0.75</t>
        </is>
      </c>
      <c r="F290" s="12" t="n">
        <v>17.1</v>
      </c>
      <c r="G290" s="18" t="n">
        <v>135000</v>
      </c>
      <c r="H290" s="12" t="n">
        <v>21708</v>
      </c>
      <c r="I290" s="6" t="n"/>
      <c r="J290" s="6">
        <f>IF((B290*0.935 - F290*500) / (1.025*(1+$P$2/100)) &lt;= F290*500/0.15,ROUND(MAX(0, (B290*0.935 - F290*500) / (1.025*(1+$P$2/100))),0),ROUND(MAX(0, B290*0.935 / (1.175*(1+$P$2/100))),0))</f>
        <v/>
      </c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</row>
    <row r="291" ht="12.75" customHeight="1" s="46">
      <c r="A291" s="17" t="inlineStr">
        <is>
          <t>мистический посох (старейшина)</t>
        </is>
      </c>
      <c r="B291" s="56" t="n">
        <v>522194</v>
      </c>
      <c r="C291" s="16" t="n">
        <v>0</v>
      </c>
      <c r="D291" s="16" t="n">
        <v>3</v>
      </c>
      <c r="E291" s="10" t="inlineStr">
        <is>
          <t>0.75</t>
        </is>
      </c>
      <c r="F291" s="12" t="n">
        <v>25.6</v>
      </c>
      <c r="G291" s="18" t="n">
        <v>449995</v>
      </c>
      <c r="H291" s="12" t="n">
        <v>72199</v>
      </c>
      <c r="I291" s="6" t="n"/>
      <c r="J291" s="6">
        <f>IF((B291*0.935 - F291*500) / (1.025*(1+$P$2/100)) &lt;= F291*500/0.15,ROUND(MAX(0, (B291*0.935 - F291*500) / (1.025*(1+$P$2/100))),0),ROUND(MAX(0, B291*0.935 / (1.175*(1+$P$2/100))),0))</f>
        <v/>
      </c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</row>
    <row r="292" ht="12.75" customHeight="1" s="46">
      <c r="A292" s="7" t="inlineStr">
        <is>
          <t>большой мистический посох (знаток)</t>
        </is>
      </c>
      <c r="B292" s="57" t="n">
        <v>12907</v>
      </c>
      <c r="C292" s="9" t="n">
        <v>0</v>
      </c>
      <c r="D292" s="9" t="n">
        <v>100</v>
      </c>
      <c r="E292" s="10" t="inlineStr">
        <is>
          <t>0.55</t>
        </is>
      </c>
      <c r="F292" s="12" t="n">
        <v>6.8</v>
      </c>
      <c r="G292" s="18" t="n">
        <v>14997</v>
      </c>
      <c r="H292" s="12" t="n">
        <v>-2090</v>
      </c>
      <c r="I292" s="6" t="n"/>
      <c r="J292" s="6">
        <f>IF((B292*0.935 - F292*500) / (1.025*(1+$P$2/100)) &lt;= F292*500/0.15,ROUND(MAX(0, (B292*0.935 - F292*500) / (1.025*(1+$P$2/100))),0),ROUND(MAX(0, B292*0.935 / (1.175*(1+$P$2/100))),0))</f>
        <v/>
      </c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</row>
    <row r="293" ht="12.75" customHeight="1" s="46">
      <c r="A293" s="13" t="inlineStr">
        <is>
          <t>большой мистический посох (эксперт)</t>
        </is>
      </c>
      <c r="B293" s="57" t="n">
        <v>29997</v>
      </c>
      <c r="C293" s="9" t="n">
        <v>0</v>
      </c>
      <c r="D293" s="9" t="n">
        <v>70</v>
      </c>
      <c r="E293" s="10" t="inlineStr">
        <is>
          <t>0.70</t>
        </is>
      </c>
      <c r="F293" s="12" t="n">
        <v>10.1</v>
      </c>
      <c r="G293" s="18" t="n">
        <v>21965</v>
      </c>
      <c r="H293" s="12" t="n">
        <v>8032</v>
      </c>
      <c r="I293" s="6" t="n"/>
      <c r="J293" s="6">
        <f>IF((B293*0.935 - F293*500) / (1.025*(1+$P$2/100)) &lt;= F293*500/0.15,ROUND(MAX(0, (B293*0.935 - F293*500) / (1.025*(1+$P$2/100))),0),ROUND(MAX(0, B293*0.935 / (1.175*(1+$P$2/100))),0))</f>
        <v/>
      </c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</row>
    <row r="294" ht="12.75" customHeight="1" s="46">
      <c r="A294" s="14" t="inlineStr">
        <is>
          <t>большой мистический посох (мастер)</t>
        </is>
      </c>
      <c r="B294" s="57" t="n">
        <v>76887</v>
      </c>
      <c r="C294" s="9" t="n">
        <v>0</v>
      </c>
      <c r="D294" s="9" t="n">
        <v>35</v>
      </c>
      <c r="E294" s="10" t="inlineStr">
        <is>
          <t>0.80</t>
        </is>
      </c>
      <c r="F294" s="12" t="n">
        <v>15.2</v>
      </c>
      <c r="G294" s="18" t="n">
        <v>44998</v>
      </c>
      <c r="H294" s="12" t="n">
        <v>31889</v>
      </c>
      <c r="I294" s="6" t="n"/>
      <c r="J294" s="6">
        <f>IF((B294*0.935 - F294*500) / (1.025*(1+$P$2/100)) &lt;= F294*500/0.15,ROUND(MAX(0, (B294*0.935 - F294*500) / (1.025*(1+$P$2/100))),0),ROUND(MAX(0, B294*0.935 / (1.175*(1+$P$2/100))),0))</f>
        <v/>
      </c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</row>
    <row r="295" ht="12.75" customHeight="1" s="46">
      <c r="A295" s="15" t="inlineStr">
        <is>
          <t>большой мистический посох (магистр)</t>
        </is>
      </c>
      <c r="B295" s="57" t="n">
        <v>232326</v>
      </c>
      <c r="C295" s="16" t="n">
        <v>0</v>
      </c>
      <c r="D295" s="16" t="n">
        <v>6</v>
      </c>
      <c r="E295" s="10" t="inlineStr">
        <is>
          <t>0.75</t>
        </is>
      </c>
      <c r="F295" s="12" t="n">
        <v>22.8</v>
      </c>
      <c r="G295" s="18" t="n">
        <v>203498</v>
      </c>
      <c r="H295" s="12" t="n">
        <v>28828</v>
      </c>
      <c r="I295" s="6" t="n"/>
      <c r="J295" s="6">
        <f>IF((B295*0.935 - F295*500) / (1.025*(1+$P$2/100)) &lt;= F295*500/0.15,ROUND(MAX(0, (B295*0.935 - F295*500) / (1.025*(1+$P$2/100))),0),ROUND(MAX(0, B295*0.935 / (1.175*(1+$P$2/100))),0))</f>
        <v/>
      </c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</row>
    <row r="296" ht="12.75" customHeight="1" s="46">
      <c r="A296" s="17" t="inlineStr">
        <is>
          <t>большой мистический посох (старейшина)</t>
        </is>
      </c>
      <c r="B296" s="57" t="n">
        <v>766598</v>
      </c>
      <c r="C296" s="16" t="n">
        <v>0</v>
      </c>
      <c r="D296" s="16" t="n">
        <v>3</v>
      </c>
      <c r="E296" s="10" t="inlineStr">
        <is>
          <t>0.75</t>
        </is>
      </c>
      <c r="F296" s="12" t="n">
        <v>34.2</v>
      </c>
      <c r="G296" s="18" t="n">
        <v>679999</v>
      </c>
      <c r="H296" s="12" t="n">
        <v>86599</v>
      </c>
      <c r="I296" s="6" t="n"/>
      <c r="J296" s="6">
        <f>IF((B296*0.935 - F296*500) / (1.025*(1+$P$2/100)) &lt;= F296*500/0.15,ROUND(MAX(0, (B296*0.935 - F296*500) / (1.025*(1+$P$2/100))),0),ROUND(MAX(0, B296*0.935 / (1.175*(1+$P$2/100))),0))</f>
        <v/>
      </c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</row>
    <row r="297" ht="12.75" customHeight="1" s="46">
      <c r="A297" s="7" t="inlineStr">
        <is>
          <t>загадочный посох (знаток)</t>
        </is>
      </c>
      <c r="B297" s="60" t="n">
        <v>9999</v>
      </c>
      <c r="C297" s="9" t="n">
        <v>0</v>
      </c>
      <c r="D297" s="9" t="n">
        <v>100</v>
      </c>
      <c r="E297" s="10" t="inlineStr">
        <is>
          <t>0.55</t>
        </is>
      </c>
      <c r="F297" s="12" t="n">
        <v>6.8</v>
      </c>
      <c r="G297" s="18" t="n">
        <v>3499</v>
      </c>
      <c r="H297" s="12" t="n">
        <v>6500</v>
      </c>
      <c r="I297" s="6" t="n"/>
      <c r="J297" s="6">
        <f>IF((B297*0.935 - F297*500) / (1.025*(1+$P$2/100)) &lt;= F297*500/0.15,ROUND(MAX(0, (B297*0.935 - F297*500) / (1.025*(1+$P$2/100))),0),ROUND(MAX(0, B297*0.935 / (1.175*(1+$P$2/100))),0))</f>
        <v/>
      </c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</row>
    <row r="298" ht="12.75" customHeight="1" s="46">
      <c r="A298" s="13" t="inlineStr">
        <is>
          <t>загадочный посох (эксперт)</t>
        </is>
      </c>
      <c r="B298" s="60" t="n">
        <v>29432</v>
      </c>
      <c r="C298" s="9" t="n">
        <v>0</v>
      </c>
      <c r="D298" s="9" t="n">
        <v>70</v>
      </c>
      <c r="E298" s="10" t="inlineStr">
        <is>
          <t>0.70</t>
        </is>
      </c>
      <c r="F298" s="12" t="n">
        <v>10.1</v>
      </c>
      <c r="G298" s="18" t="n">
        <v>20000</v>
      </c>
      <c r="H298" s="12" t="n">
        <v>9432</v>
      </c>
      <c r="I298" s="6" t="n"/>
      <c r="J298" s="6">
        <f>IF((B298*0.935 - F298*500) / (1.025*(1+$P$2/100)) &lt;= F298*500/0.15,ROUND(MAX(0, (B298*0.935 - F298*500) / (1.025*(1+$P$2/100))),0),ROUND(MAX(0, B298*0.935 / (1.175*(1+$P$2/100))),0))</f>
        <v/>
      </c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</row>
    <row r="299" ht="12.75" customHeight="1" s="46">
      <c r="A299" s="14" t="inlineStr">
        <is>
          <t>загадочный посох (мастер)</t>
        </is>
      </c>
      <c r="B299" s="60" t="n">
        <v>78179</v>
      </c>
      <c r="C299" s="9" t="n">
        <v>0</v>
      </c>
      <c r="D299" s="9" t="n">
        <v>35</v>
      </c>
      <c r="E299" s="10" t="inlineStr">
        <is>
          <t>0.80</t>
        </is>
      </c>
      <c r="F299" s="12" t="n">
        <v>15.2</v>
      </c>
      <c r="G299" s="18" t="n">
        <v>54998</v>
      </c>
      <c r="H299" s="12" t="n">
        <v>23181</v>
      </c>
      <c r="I299" s="6" t="n"/>
      <c r="J299" s="6">
        <f>IF((B299*0.935 - F299*500) / (1.025*(1+$P$2/100)) &lt;= F299*500/0.15,ROUND(MAX(0, (B299*0.935 - F299*500) / (1.025*(1+$P$2/100))),0),ROUND(MAX(0, B299*0.935 / (1.175*(1+$P$2/100))),0))</f>
        <v/>
      </c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</row>
    <row r="300" ht="12.75" customHeight="1" s="46">
      <c r="A300" s="15" t="inlineStr">
        <is>
          <t>загадочный посох (магистр)</t>
        </is>
      </c>
      <c r="B300" s="60" t="n">
        <v>255552</v>
      </c>
      <c r="C300" s="16" t="n">
        <v>0</v>
      </c>
      <c r="D300" s="16" t="n">
        <v>6</v>
      </c>
      <c r="E300" s="10" t="inlineStr">
        <is>
          <t>0.75</t>
        </is>
      </c>
      <c r="F300" s="12" t="n">
        <v>22.8</v>
      </c>
      <c r="G300" s="18" t="n">
        <v>204997</v>
      </c>
      <c r="H300" s="12" t="n">
        <v>50555</v>
      </c>
      <c r="I300" s="6" t="n"/>
      <c r="J300" s="6">
        <f>IF((B300*0.935 - F300*500) / (1.025*(1+$P$2/100)) &lt;= F300*500/0.15,ROUND(MAX(0, (B300*0.935 - F300*500) / (1.025*(1+$P$2/100))),0),ROUND(MAX(0, B300*0.935 / (1.175*(1+$P$2/100))),0))</f>
        <v/>
      </c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</row>
    <row r="301" ht="12.75" customHeight="1" s="46">
      <c r="A301" s="17" t="inlineStr">
        <is>
          <t>загадочный посох (старейшина)</t>
        </is>
      </c>
      <c r="B301" s="60" t="n">
        <v>676500</v>
      </c>
      <c r="C301" s="16" t="n">
        <v>0</v>
      </c>
      <c r="D301" s="16" t="n">
        <v>3</v>
      </c>
      <c r="E301" s="10" t="inlineStr">
        <is>
          <t>0.75</t>
        </is>
      </c>
      <c r="F301" s="12" t="n">
        <v>34.2</v>
      </c>
      <c r="G301" s="18" t="n">
        <v>550000</v>
      </c>
      <c r="H301" s="12" t="n">
        <v>126500</v>
      </c>
      <c r="I301" s="6" t="n"/>
      <c r="J301" s="6">
        <f>IF((B301*0.935 - F301*500) / (1.025*(1+$P$2/100)) &lt;= F301*500/0.15,ROUND(MAX(0, (B301*0.935 - F301*500) / (1.025*(1+$P$2/100))),0),ROUND(MAX(0, B301*0.935 / (1.175*(1+$P$2/100))),0))</f>
        <v/>
      </c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</row>
    <row r="302" ht="12.75" customHeight="1" s="46">
      <c r="A302" s="7" t="inlineStr">
        <is>
          <t>проклятый посох (знаток)</t>
        </is>
      </c>
      <c r="B302" s="61" t="n">
        <v>11044</v>
      </c>
      <c r="C302" s="9" t="n">
        <v>0</v>
      </c>
      <c r="D302" s="9" t="n">
        <v>100</v>
      </c>
      <c r="E302" s="10" t="inlineStr">
        <is>
          <t>0.55</t>
        </is>
      </c>
      <c r="F302" s="12" t="n">
        <v>5.1</v>
      </c>
      <c r="G302" s="18" t="n">
        <v>22995</v>
      </c>
      <c r="H302" s="12" t="n">
        <v>-11951</v>
      </c>
      <c r="I302" s="6" t="n"/>
      <c r="J302" s="6">
        <f>IF((B302*0.935 - F302*500) / (1.025*(1+$P$2/100)) &lt;= F302*500/0.15,ROUND(MAX(0, (B302*0.935 - F302*500) / (1.025*(1+$P$2/100))),0),ROUND(MAX(0, B302*0.935 / (1.175*(1+$P$2/100))),0))</f>
        <v/>
      </c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</row>
    <row r="303" ht="12.75" customHeight="1" s="46">
      <c r="A303" s="13" t="inlineStr">
        <is>
          <t>проклятый посох (эксперт)</t>
        </is>
      </c>
      <c r="B303" s="61" t="n">
        <v>25642</v>
      </c>
      <c r="C303" s="9" t="n">
        <v>0</v>
      </c>
      <c r="D303" s="9" t="n">
        <v>70</v>
      </c>
      <c r="E303" s="10" t="inlineStr">
        <is>
          <t>0.70</t>
        </is>
      </c>
      <c r="F303" s="12" t="n">
        <v>7.6</v>
      </c>
      <c r="G303" s="18" t="n">
        <v>60000</v>
      </c>
      <c r="H303" s="12" t="n">
        <v>-34358</v>
      </c>
      <c r="I303" s="6" t="n"/>
      <c r="J303" s="6">
        <f>IF((B303*0.935 - F303*500) / (1.025*(1+$P$2/100)) &lt;= F303*500/0.15,ROUND(MAX(0, (B303*0.935 - F303*500) / (1.025*(1+$P$2/100))),0),ROUND(MAX(0, B303*0.935 / (1.175*(1+$P$2/100))),0))</f>
        <v/>
      </c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</row>
    <row r="304" ht="12.75" customHeight="1" s="46">
      <c r="A304" s="14" t="inlineStr">
        <is>
          <t>проклятый посох (мастер)</t>
        </is>
      </c>
      <c r="B304" s="61" t="n">
        <v>67670</v>
      </c>
      <c r="C304" s="9" t="n">
        <v>0</v>
      </c>
      <c r="D304" s="9" t="n">
        <v>35</v>
      </c>
      <c r="E304" s="10" t="inlineStr">
        <is>
          <t>0.80</t>
        </is>
      </c>
      <c r="F304" s="12" t="n">
        <v>11.4</v>
      </c>
      <c r="G304" s="18" t="n">
        <v>199998</v>
      </c>
      <c r="H304" s="12" t="n">
        <v>-132328</v>
      </c>
      <c r="I304" s="6" t="n"/>
      <c r="J304" s="6">
        <f>IF((B304*0.935 - F304*500) / (1.025*(1+$P$2/100)) &lt;= F304*500/0.15,ROUND(MAX(0, (B304*0.935 - F304*500) / (1.025*(1+$P$2/100))),0),ROUND(MAX(0, B304*0.935 / (1.175*(1+$P$2/100))),0))</f>
        <v/>
      </c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</row>
    <row r="305" ht="12.75" customHeight="1" s="46">
      <c r="A305" s="15" t="inlineStr">
        <is>
          <t>проклятый посох (магистр)</t>
        </is>
      </c>
      <c r="B305" s="61" t="n">
        <v>197090</v>
      </c>
      <c r="C305" s="16" t="n">
        <v>0</v>
      </c>
      <c r="D305" s="16" t="n">
        <v>6</v>
      </c>
      <c r="E305" s="10" t="inlineStr">
        <is>
          <t>0.75</t>
        </is>
      </c>
      <c r="F305" s="12" t="n">
        <v>17.1</v>
      </c>
      <c r="G305" s="18" t="n">
        <v>688868</v>
      </c>
      <c r="H305" s="12" t="n">
        <v>-491778</v>
      </c>
      <c r="I305" s="6" t="n"/>
      <c r="J305" s="6">
        <f>IF((B305*0.935 - F305*500) / (1.025*(1+$P$2/100)) &lt;= F305*500/0.15,ROUND(MAX(0, (B305*0.935 - F305*500) / (1.025*(1+$P$2/100))),0),ROUND(MAX(0, B305*0.935 / (1.175*(1+$P$2/100))),0))</f>
        <v/>
      </c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</row>
    <row r="306" ht="12.75" customHeight="1" s="46">
      <c r="A306" s="17" t="inlineStr">
        <is>
          <t>проклятый посох (старейшина)</t>
        </is>
      </c>
      <c r="B306" s="61" t="n">
        <v>682186</v>
      </c>
      <c r="C306" s="16" t="n">
        <v>0</v>
      </c>
      <c r="D306" s="16" t="n">
        <v>3</v>
      </c>
      <c r="E306" s="10" t="inlineStr">
        <is>
          <t>0.75</t>
        </is>
      </c>
      <c r="F306" s="12" t="n">
        <v>25.6</v>
      </c>
      <c r="G306" s="18" t="n">
        <v>688868</v>
      </c>
      <c r="H306" s="12" t="n">
        <v>-6682</v>
      </c>
      <c r="I306" s="6" t="n"/>
      <c r="J306" s="6">
        <f>IF((B306*0.935 - F306*500) / (1.025*(1+$P$2/100)) &lt;= F306*500/0.15,ROUND(MAX(0, (B306*0.935 - F306*500) / (1.025*(1+$P$2/100))),0),ROUND(MAX(0, B306*0.935 / (1.175*(1+$P$2/100))),0))</f>
        <v/>
      </c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</row>
    <row r="307" ht="12.75" customHeight="1" s="46">
      <c r="A307" s="7" t="inlineStr">
        <is>
          <t>большой проклятый посох (знаток)</t>
        </is>
      </c>
      <c r="B307" s="55" t="n">
        <v>13918</v>
      </c>
      <c r="C307" s="9" t="n">
        <v>0</v>
      </c>
      <c r="D307" s="9" t="n">
        <v>100</v>
      </c>
      <c r="E307" s="10" t="inlineStr">
        <is>
          <t>0.55</t>
        </is>
      </c>
      <c r="F307" s="12" t="n">
        <v>6.8</v>
      </c>
      <c r="G307" s="18" t="n">
        <v>6949</v>
      </c>
      <c r="H307" s="12" t="n">
        <v>6969</v>
      </c>
      <c r="I307" s="6" t="n"/>
      <c r="J307" s="6">
        <f>IF((B307*0.935 - F307*500) / (1.025*(1+$P$2/100)) &lt;= F307*500/0.15,ROUND(MAX(0, (B307*0.935 - F307*500) / (1.025*(1+$P$2/100))),0),ROUND(MAX(0, B307*0.935 / (1.175*(1+$P$2/100))),0))</f>
        <v/>
      </c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</row>
    <row r="308" ht="12.75" customHeight="1" s="46">
      <c r="A308" s="13" t="inlineStr">
        <is>
          <t>большой проклятый посох (эксперт)</t>
        </is>
      </c>
      <c r="B308" s="55" t="n">
        <v>42471</v>
      </c>
      <c r="C308" s="9" t="n">
        <v>0</v>
      </c>
      <c r="D308" s="9" t="n">
        <v>70</v>
      </c>
      <c r="E308" s="10" t="inlineStr">
        <is>
          <t>0.70</t>
        </is>
      </c>
      <c r="F308" s="12" t="n">
        <v>10.1</v>
      </c>
      <c r="G308" s="18" t="n">
        <v>22995</v>
      </c>
      <c r="H308" s="12" t="n">
        <v>19476</v>
      </c>
      <c r="I308" s="6" t="n"/>
      <c r="J308" s="6">
        <f>IF((B308*0.935 - F308*500) / (1.025*(1+$P$2/100)) &lt;= F308*500/0.15,ROUND(MAX(0, (B308*0.935 - F308*500) / (1.025*(1+$P$2/100))),0),ROUND(MAX(0, B308*0.935 / (1.175*(1+$P$2/100))),0))</f>
        <v/>
      </c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</row>
    <row r="309" ht="12.75" customHeight="1" s="46">
      <c r="A309" s="14" t="inlineStr">
        <is>
          <t>большой проклятый посох (мастер)</t>
        </is>
      </c>
      <c r="B309" s="55" t="n">
        <v>84870</v>
      </c>
      <c r="C309" s="9" t="n">
        <v>0</v>
      </c>
      <c r="D309" s="9" t="n">
        <v>35</v>
      </c>
      <c r="E309" s="10" t="inlineStr">
        <is>
          <t>0.80</t>
        </is>
      </c>
      <c r="F309" s="12" t="n">
        <v>15.2</v>
      </c>
      <c r="G309" s="18" t="n">
        <v>60000</v>
      </c>
      <c r="H309" s="12" t="n">
        <v>24870</v>
      </c>
      <c r="I309" s="6" t="n"/>
      <c r="J309" s="6">
        <f>IF((B309*0.935 - F309*500) / (1.025*(1+$P$2/100)) &lt;= F309*500/0.15,ROUND(MAX(0, (B309*0.935 - F309*500) / (1.025*(1+$P$2/100))),0),ROUND(MAX(0, B309*0.935 / (1.175*(1+$P$2/100))),0))</f>
        <v/>
      </c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</row>
    <row r="310" ht="12.75" customHeight="1" s="46">
      <c r="A310" s="15" t="inlineStr">
        <is>
          <t>большой проклятый посох (магистр)</t>
        </is>
      </c>
      <c r="B310" s="55" t="n">
        <v>225431</v>
      </c>
      <c r="C310" s="16" t="n">
        <v>0</v>
      </c>
      <c r="D310" s="16" t="n">
        <v>6</v>
      </c>
      <c r="E310" s="10" t="inlineStr">
        <is>
          <t>0.75</t>
        </is>
      </c>
      <c r="F310" s="12" t="n">
        <v>22.8</v>
      </c>
      <c r="G310" s="18" t="n">
        <v>199998</v>
      </c>
      <c r="H310" s="12" t="n">
        <v>25433</v>
      </c>
      <c r="I310" s="6" t="n"/>
      <c r="J310" s="6">
        <f>IF((B310*0.935 - F310*500) / (1.025*(1+$P$2/100)) &lt;= F310*500/0.15,ROUND(MAX(0, (B310*0.935 - F310*500) / (1.025*(1+$P$2/100))),0),ROUND(MAX(0, B310*0.935 / (1.175*(1+$P$2/100))),0))</f>
        <v/>
      </c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</row>
    <row r="311" ht="12.75" customHeight="1" s="46">
      <c r="A311" s="17" t="inlineStr">
        <is>
          <t>большой проклятый посох (старейшина)</t>
        </is>
      </c>
      <c r="B311" s="55" t="n">
        <v>811327</v>
      </c>
      <c r="C311" s="16" t="n">
        <v>0</v>
      </c>
      <c r="D311" s="16" t="n">
        <v>3</v>
      </c>
      <c r="E311" s="10" t="inlineStr">
        <is>
          <t>0.75</t>
        </is>
      </c>
      <c r="F311" s="12" t="n">
        <v>34.2</v>
      </c>
      <c r="G311" s="18" t="n">
        <v>688868</v>
      </c>
      <c r="H311" s="12" t="n">
        <v>122459</v>
      </c>
      <c r="I311" s="6" t="n"/>
      <c r="J311" s="6">
        <f>IF((B311*0.935 - F311*500) / (1.025*(1+$P$2/100)) &lt;= F311*500/0.15,ROUND(MAX(0, (B311*0.935 - F311*500) / (1.025*(1+$P$2/100))),0),ROUND(MAX(0, B311*0.935 / (1.175*(1+$P$2/100))),0))</f>
        <v/>
      </c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</row>
    <row r="312" ht="12.75" customHeight="1" s="46">
      <c r="A312" s="7" t="inlineStr">
        <is>
          <t>демонический посох (знаток)</t>
        </is>
      </c>
      <c r="B312" s="56" t="n">
        <v>16380</v>
      </c>
      <c r="C312" s="9" t="n">
        <v>0</v>
      </c>
      <c r="D312" s="9" t="n">
        <v>100</v>
      </c>
      <c r="E312" s="10" t="inlineStr">
        <is>
          <t>0.55</t>
        </is>
      </c>
      <c r="F312" s="12" t="n">
        <v>6.8</v>
      </c>
      <c r="G312" s="18" t="n">
        <v>8596</v>
      </c>
      <c r="H312" s="12" t="n">
        <v>7784</v>
      </c>
      <c r="I312" s="6" t="n"/>
      <c r="J312" s="6">
        <f>IF((B312*0.935 - F312*500) / (1.025*(1+$P$2/100)) &lt;= F312*500/0.15,ROUND(MAX(0, (B312*0.935 - F312*500) / (1.025*(1+$P$2/100))),0),ROUND(MAX(0, B312*0.935 / (1.175*(1+$P$2/100))),0))</f>
        <v/>
      </c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</row>
    <row r="313" ht="12.75" customHeight="1" s="46">
      <c r="A313" s="13" t="inlineStr">
        <is>
          <t>демонический посох (эксперт)</t>
        </is>
      </c>
      <c r="B313" s="56" t="n">
        <v>34921</v>
      </c>
      <c r="C313" s="9" t="n">
        <v>0</v>
      </c>
      <c r="D313" s="9" t="n">
        <v>70</v>
      </c>
      <c r="E313" s="10" t="inlineStr">
        <is>
          <t>0.70</t>
        </is>
      </c>
      <c r="F313" s="12" t="n">
        <v>10.1</v>
      </c>
      <c r="G313" s="18" t="n">
        <v>22395</v>
      </c>
      <c r="H313" s="12" t="n">
        <v>12526</v>
      </c>
      <c r="I313" s="6" t="n"/>
      <c r="J313" s="6">
        <f>IF((B313*0.935 - F313*500) / (1.025*(1+$P$2/100)) &lt;= F313*500/0.15,ROUND(MAX(0, (B313*0.935 - F313*500) / (1.025*(1+$P$2/100))),0),ROUND(MAX(0, B313*0.935 / (1.175*(1+$P$2/100))),0))</f>
        <v/>
      </c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</row>
    <row r="314" ht="12.75" customHeight="1" s="46">
      <c r="A314" s="14" t="inlineStr">
        <is>
          <t>демонический посох (мастер)</t>
        </is>
      </c>
      <c r="B314" s="56" t="n">
        <v>84965</v>
      </c>
      <c r="C314" s="9" t="n">
        <v>0</v>
      </c>
      <c r="D314" s="9" t="n">
        <v>35</v>
      </c>
      <c r="E314" s="10" t="inlineStr">
        <is>
          <t>0.80</t>
        </is>
      </c>
      <c r="F314" s="12" t="n">
        <v>15.2</v>
      </c>
      <c r="G314" s="18" t="n">
        <v>55986</v>
      </c>
      <c r="H314" s="12" t="n">
        <v>28979</v>
      </c>
      <c r="I314" s="6" t="n"/>
      <c r="J314" s="6">
        <f>IF((B314*0.935 - F314*500) / (1.025*(1+$P$2/100)) &lt;= F314*500/0.15,ROUND(MAX(0, (B314*0.935 - F314*500) / (1.025*(1+$P$2/100))),0),ROUND(MAX(0, B314*0.935 / (1.175*(1+$P$2/100))),0))</f>
        <v/>
      </c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</row>
    <row r="315" ht="12.75" customHeight="1" s="46">
      <c r="A315" s="15" t="inlineStr">
        <is>
          <t>демонический посох (магистр)</t>
        </is>
      </c>
      <c r="B315" s="56" t="n">
        <v>226966</v>
      </c>
      <c r="C315" s="16" t="n">
        <v>0</v>
      </c>
      <c r="D315" s="16" t="n">
        <v>6</v>
      </c>
      <c r="E315" s="10" t="inlineStr">
        <is>
          <t>0.75</t>
        </is>
      </c>
      <c r="F315" s="12" t="n">
        <v>22.8</v>
      </c>
      <c r="G315" s="18" t="n">
        <v>178984</v>
      </c>
      <c r="H315" s="12" t="n">
        <v>47982</v>
      </c>
      <c r="I315" s="6" t="n"/>
      <c r="J315" s="6">
        <f>IF((B315*0.935 - F315*500) / (1.025*(1+$P$2/100)) &lt;= F315*500/0.15,ROUND(MAX(0, (B315*0.935 - F315*500) / (1.025*(1+$P$2/100))),0),ROUND(MAX(0, B315*0.935 / (1.175*(1+$P$2/100))),0))</f>
        <v/>
      </c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</row>
    <row r="316" ht="12.75" customHeight="1" s="46">
      <c r="A316" s="17" t="inlineStr">
        <is>
          <t>демонический посох (старейшина)</t>
        </is>
      </c>
      <c r="B316" s="56" t="n">
        <v>788408</v>
      </c>
      <c r="C316" s="16" t="n">
        <v>0</v>
      </c>
      <c r="D316" s="16" t="n">
        <v>3</v>
      </c>
      <c r="E316" s="10" t="inlineStr">
        <is>
          <t>0.75</t>
        </is>
      </c>
      <c r="F316" s="12" t="n">
        <v>34.2</v>
      </c>
      <c r="G316" s="18" t="n">
        <v>679990</v>
      </c>
      <c r="H316" s="12" t="n">
        <v>108418</v>
      </c>
      <c r="I316" s="6" t="n"/>
      <c r="J316" s="6">
        <f>IF((B316*0.935 - F316*500) / (1.025*(1+$P$2/100)) &lt;= F316*500/0.15,ROUND(MAX(0, (B316*0.935 - F316*500) / (1.025*(1+$P$2/100))),0),ROUND(MAX(0, B316*0.935 / (1.175*(1+$P$2/100))),0))</f>
        <v/>
      </c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</row>
    <row r="317" ht="12.75" customHeight="1" s="46">
      <c r="A317" s="7" t="inlineStr">
        <is>
          <t>огненный посох (знаток)</t>
        </is>
      </c>
      <c r="B317" s="57" t="n">
        <v>4620</v>
      </c>
      <c r="C317" s="9" t="n">
        <v>0</v>
      </c>
      <c r="D317" s="9" t="n">
        <v>100</v>
      </c>
      <c r="E317" s="10" t="inlineStr">
        <is>
          <t>0.55</t>
        </is>
      </c>
      <c r="F317" s="12" t="n">
        <v>5.1</v>
      </c>
      <c r="G317" s="18" t="n">
        <v>3999</v>
      </c>
      <c r="H317" s="12" t="n">
        <v>621</v>
      </c>
      <c r="I317" s="6" t="n"/>
      <c r="J317" s="6">
        <f>IF((B317*0.935 - F317*500) / (1.025*(1+$P$2/100)) &lt;= F317*500/0.15,ROUND(MAX(0, (B317*0.935 - F317*500) / (1.025*(1+$P$2/100))),0),ROUND(MAX(0, B317*0.935 / (1.175*(1+$P$2/100))),0))</f>
        <v/>
      </c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</row>
    <row r="318" ht="12.75" customHeight="1" s="46">
      <c r="A318" s="13" t="inlineStr">
        <is>
          <t>огненный посох (эксперт)</t>
        </is>
      </c>
      <c r="B318" s="57" t="n">
        <v>13308</v>
      </c>
      <c r="C318" s="9" t="n">
        <v>0</v>
      </c>
      <c r="D318" s="9" t="n">
        <v>70</v>
      </c>
      <c r="E318" s="10" t="inlineStr">
        <is>
          <t>0.70</t>
        </is>
      </c>
      <c r="F318" s="12" t="n">
        <v>7.6</v>
      </c>
      <c r="G318" s="18" t="n">
        <v>9692</v>
      </c>
      <c r="H318" s="12" t="n">
        <v>3616</v>
      </c>
      <c r="I318" s="6" t="n"/>
      <c r="J318" s="6">
        <f>IF((B318*0.935 - F318*500) / (1.025*(1+$P$2/100)) &lt;= F318*500/0.15,ROUND(MAX(0, (B318*0.935 - F318*500) / (1.025*(1+$P$2/100))),0),ROUND(MAX(0, B318*0.935 / (1.175*(1+$P$2/100))),0))</f>
        <v/>
      </c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</row>
    <row r="319" ht="12.75" customHeight="1" s="46">
      <c r="A319" s="14" t="inlineStr">
        <is>
          <t>огненный посох (мастер)</t>
        </is>
      </c>
      <c r="B319" s="57" t="n">
        <v>44441</v>
      </c>
      <c r="C319" s="9" t="n">
        <v>0</v>
      </c>
      <c r="D319" s="9" t="n">
        <v>35</v>
      </c>
      <c r="E319" s="10" t="inlineStr">
        <is>
          <t>0.80</t>
        </is>
      </c>
      <c r="F319" s="12" t="n">
        <v>11.4</v>
      </c>
      <c r="G319" s="18" t="n">
        <v>36984</v>
      </c>
      <c r="H319" s="12" t="n">
        <v>7457</v>
      </c>
      <c r="I319" s="6" t="n"/>
      <c r="J319" s="6">
        <f>IF((B319*0.935 - F319*500) / (1.025*(1+$P$2/100)) &lt;= F319*500/0.15,ROUND(MAX(0, (B319*0.935 - F319*500) / (1.025*(1+$P$2/100))),0),ROUND(MAX(0, B319*0.935 / (1.175*(1+$P$2/100))),0))</f>
        <v/>
      </c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</row>
    <row r="320" ht="12.75" customHeight="1" s="46">
      <c r="A320" s="15" t="inlineStr">
        <is>
          <t>огненный посох (магистр)</t>
        </is>
      </c>
      <c r="B320" s="57" t="n">
        <v>128958</v>
      </c>
      <c r="C320" s="16" t="n">
        <v>0</v>
      </c>
      <c r="D320" s="16" t="n">
        <v>6</v>
      </c>
      <c r="E320" s="10" t="inlineStr">
        <is>
          <t>0.75</t>
        </is>
      </c>
      <c r="F320" s="12" t="n">
        <v>17.1</v>
      </c>
      <c r="G320" s="18" t="n">
        <v>119967</v>
      </c>
      <c r="H320" s="12" t="n">
        <v>8991</v>
      </c>
      <c r="I320" s="6" t="n"/>
      <c r="J320" s="6">
        <f>IF((B320*0.935 - F320*500) / (1.025*(1+$P$2/100)) &lt;= F320*500/0.15,ROUND(MAX(0, (B320*0.935 - F320*500) / (1.025*(1+$P$2/100))),0),ROUND(MAX(0, B320*0.935 / (1.175*(1+$P$2/100))),0))</f>
        <v/>
      </c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</row>
    <row r="321" ht="12.75" customHeight="1" s="46">
      <c r="A321" s="17" t="inlineStr">
        <is>
          <t>огненный посох (старейшина)</t>
        </is>
      </c>
      <c r="B321" s="57" t="n">
        <v>488652</v>
      </c>
      <c r="C321" s="16" t="n">
        <v>0</v>
      </c>
      <c r="D321" s="16" t="n">
        <v>3</v>
      </c>
      <c r="E321" s="10" t="inlineStr">
        <is>
          <t>0.75</t>
        </is>
      </c>
      <c r="F321" s="12" t="n">
        <v>25.6</v>
      </c>
      <c r="G321" s="18" t="n">
        <v>419999</v>
      </c>
      <c r="H321" s="12" t="n">
        <v>68653</v>
      </c>
      <c r="I321" s="6" t="n"/>
      <c r="J321" s="6">
        <f>IF((B321*0.935 - F321*500) / (1.025*(1+$P$2/100)) &lt;= F321*500/0.15,ROUND(MAX(0, (B321*0.935 - F321*500) / (1.025*(1+$P$2/100))),0),ROUND(MAX(0, B321*0.935 / (1.175*(1+$P$2/100))),0))</f>
        <v/>
      </c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</row>
    <row r="322" ht="12.75" customHeight="1" s="46">
      <c r="A322" s="7" t="inlineStr">
        <is>
          <t>большой огненный посох (знаток)</t>
        </is>
      </c>
      <c r="B322" s="60" t="n">
        <v>9598</v>
      </c>
      <c r="C322" s="9" t="n">
        <v>0</v>
      </c>
      <c r="D322" s="9" t="n">
        <v>100</v>
      </c>
      <c r="E322" s="10" t="inlineStr">
        <is>
          <t>0.55</t>
        </is>
      </c>
      <c r="F322" s="12" t="n">
        <v>6.8</v>
      </c>
      <c r="G322" s="18" t="n">
        <v>4692</v>
      </c>
      <c r="H322" s="12" t="n">
        <v>4906</v>
      </c>
      <c r="I322" s="6" t="n"/>
      <c r="J322" s="6">
        <f>IF((B322*0.935 - F322*500) / (1.025*(1+$P$2/100)) &lt;= F322*500/0.15,ROUND(MAX(0, (B322*0.935 - F322*500) / (1.025*(1+$P$2/100))),0),ROUND(MAX(0, B322*0.935 / (1.175*(1+$P$2/100))),0))</f>
        <v/>
      </c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</row>
    <row r="323" ht="12.75" customHeight="1" s="46">
      <c r="A323" s="13" t="inlineStr">
        <is>
          <t>большой огненный посох (эксперт)</t>
        </is>
      </c>
      <c r="B323" s="60" t="n">
        <v>22529</v>
      </c>
      <c r="C323" s="9" t="n">
        <v>0</v>
      </c>
      <c r="D323" s="9" t="n">
        <v>70</v>
      </c>
      <c r="E323" s="10" t="inlineStr">
        <is>
          <t>0.70</t>
        </is>
      </c>
      <c r="F323" s="12" t="n">
        <v>10.1</v>
      </c>
      <c r="G323" s="18" t="n">
        <v>13990</v>
      </c>
      <c r="H323" s="12" t="n">
        <v>8539</v>
      </c>
      <c r="I323" s="6" t="n"/>
      <c r="J323" s="6">
        <f>IF((B323*0.935 - F323*500) / (1.025*(1+$P$2/100)) &lt;= F323*500/0.15,ROUND(MAX(0, (B323*0.935 - F323*500) / (1.025*(1+$P$2/100))),0),ROUND(MAX(0, B323*0.935 / (1.175*(1+$P$2/100))),0))</f>
        <v/>
      </c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</row>
    <row r="324" ht="12.75" customHeight="1" s="46">
      <c r="A324" s="14" t="inlineStr">
        <is>
          <t>большой огненный посох (мастер)</t>
        </is>
      </c>
      <c r="B324" s="60" t="n">
        <v>66955</v>
      </c>
      <c r="C324" s="9" t="n">
        <v>0</v>
      </c>
      <c r="D324" s="9" t="n">
        <v>35</v>
      </c>
      <c r="E324" s="10" t="inlineStr">
        <is>
          <t>0.80</t>
        </is>
      </c>
      <c r="F324" s="12" t="n">
        <v>15.2</v>
      </c>
      <c r="G324" s="18" t="n">
        <v>54993</v>
      </c>
      <c r="H324" s="12" t="n">
        <v>11962</v>
      </c>
      <c r="I324" s="6" t="n"/>
      <c r="J324" s="6">
        <f>IF((B324*0.935 - F324*500) / (1.025*(1+$P$2/100)) &lt;= F324*500/0.15,ROUND(MAX(0, (B324*0.935 - F324*500) / (1.025*(1+$P$2/100))),0),ROUND(MAX(0, B324*0.935 / (1.175*(1+$P$2/100))),0))</f>
        <v/>
      </c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</row>
    <row r="325" ht="12.75" customHeight="1" s="46">
      <c r="A325" s="15" t="inlineStr">
        <is>
          <t>большой огненный посох (магистр)</t>
        </is>
      </c>
      <c r="B325" s="60" t="n">
        <v>199972</v>
      </c>
      <c r="C325" s="16" t="n">
        <v>0</v>
      </c>
      <c r="D325" s="16" t="n">
        <v>6</v>
      </c>
      <c r="E325" s="10" t="inlineStr">
        <is>
          <t>0.75</t>
        </is>
      </c>
      <c r="F325" s="12" t="n">
        <v>22.8</v>
      </c>
      <c r="G325" s="18" t="n">
        <v>173998</v>
      </c>
      <c r="H325" s="12" t="n">
        <v>25974</v>
      </c>
      <c r="I325" s="6" t="n"/>
      <c r="J325" s="6">
        <f>IF((B325*0.935 - F325*500) / (1.025*(1+$P$2/100)) &lt;= F325*500/0.15,ROUND(MAX(0, (B325*0.935 - F325*500) / (1.025*(1+$P$2/100))),0),ROUND(MAX(0, B325*0.935 / (1.175*(1+$P$2/100))),0))</f>
        <v/>
      </c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</row>
    <row r="326" ht="12.75" customHeight="1" s="46">
      <c r="A326" s="17" t="inlineStr">
        <is>
          <t>большой огненный посох (старейшина)</t>
        </is>
      </c>
      <c r="B326" s="60" t="n">
        <v>606463</v>
      </c>
      <c r="C326" s="16" t="n">
        <v>0</v>
      </c>
      <c r="D326" s="16" t="n">
        <v>3</v>
      </c>
      <c r="E326" s="10" t="inlineStr">
        <is>
          <t>0.75</t>
        </is>
      </c>
      <c r="F326" s="12" t="n">
        <v>34.2</v>
      </c>
      <c r="G326" s="18" t="n">
        <v>595997</v>
      </c>
      <c r="H326" s="12" t="n">
        <v>10466</v>
      </c>
      <c r="I326" s="6" t="n"/>
      <c r="J326" s="6">
        <f>IF((B326*0.935 - F326*500) / (1.025*(1+$P$2/100)) &lt;= F326*500/0.15,ROUND(MAX(0, (B326*0.935 - F326*500) / (1.025*(1+$P$2/100))),0),ROUND(MAX(0, B326*0.935 / (1.175*(1+$P$2/100))),0))</f>
        <v/>
      </c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</row>
    <row r="327" ht="12.75" customHeight="1" s="46">
      <c r="A327" s="7" t="inlineStr">
        <is>
          <t>адский посох (знаток)</t>
        </is>
      </c>
      <c r="B327" s="61" t="n">
        <v>10188</v>
      </c>
      <c r="C327" s="9" t="n">
        <v>0</v>
      </c>
      <c r="D327" s="9" t="n">
        <v>100</v>
      </c>
      <c r="E327" s="10" t="inlineStr">
        <is>
          <t>0.55</t>
        </is>
      </c>
      <c r="F327" s="12" t="n">
        <v>6.8</v>
      </c>
      <c r="G327" s="18" t="n">
        <v>5799</v>
      </c>
      <c r="H327" s="12" t="n">
        <v>4389</v>
      </c>
      <c r="I327" s="6" t="n"/>
      <c r="J327" s="6">
        <f>IF((B327*0.935 - F327*500) / (1.025*(1+$P$2/100)) &lt;= F327*500/0.15,ROUND(MAX(0, (B327*0.935 - F327*500) / (1.025*(1+$P$2/100))),0),ROUND(MAX(0, B327*0.935 / (1.175*(1+$P$2/100))),0))</f>
        <v/>
      </c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</row>
    <row r="328" ht="12.75" customHeight="1" s="46">
      <c r="A328" s="13" t="inlineStr">
        <is>
          <t>адский посох (эксперт)</t>
        </is>
      </c>
      <c r="B328" s="61" t="n">
        <v>25475</v>
      </c>
      <c r="C328" s="9" t="n">
        <v>0</v>
      </c>
      <c r="D328" s="9" t="n">
        <v>70</v>
      </c>
      <c r="E328" s="10" t="inlineStr">
        <is>
          <t>0.70</t>
        </is>
      </c>
      <c r="F328" s="12" t="n">
        <v>10.1</v>
      </c>
      <c r="G328" s="18" t="n">
        <v>17878</v>
      </c>
      <c r="H328" s="12" t="n">
        <v>7597</v>
      </c>
      <c r="I328" s="6" t="n"/>
      <c r="J328" s="6">
        <f>IF((B328*0.935 - F328*500) / (1.025*(1+$P$2/100)) &lt;= F328*500/0.15,ROUND(MAX(0, (B328*0.935 - F328*500) / (1.025*(1+$P$2/100))),0),ROUND(MAX(0, B328*0.935 / (1.175*(1+$P$2/100))),0))</f>
        <v/>
      </c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</row>
    <row r="329" ht="12.75" customHeight="1" s="46">
      <c r="A329" s="14" t="inlineStr">
        <is>
          <t>адский посох (мастер)</t>
        </is>
      </c>
      <c r="B329" s="61" t="n">
        <v>62998</v>
      </c>
      <c r="C329" s="9" t="n">
        <v>0</v>
      </c>
      <c r="D329" s="9" t="n">
        <v>35</v>
      </c>
      <c r="E329" s="10" t="inlineStr">
        <is>
          <t>0.80</t>
        </is>
      </c>
      <c r="F329" s="12" t="n">
        <v>15.2</v>
      </c>
      <c r="G329" s="18" t="n">
        <v>49996</v>
      </c>
      <c r="H329" s="12" t="n">
        <v>13002</v>
      </c>
      <c r="I329" s="6" t="n"/>
      <c r="J329" s="6">
        <f>IF((B329*0.935 - F329*500) / (1.025*(1+$P$2/100)) &lt;= F329*500/0.15,ROUND(MAX(0, (B329*0.935 - F329*500) / (1.025*(1+$P$2/100))),0),ROUND(MAX(0, B329*0.935 / (1.175*(1+$P$2/100))),0))</f>
        <v/>
      </c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</row>
    <row r="330" ht="12.75" customHeight="1" s="46">
      <c r="A330" s="15" t="inlineStr">
        <is>
          <t>адский посох (магистр)</t>
        </is>
      </c>
      <c r="B330" s="61" t="n">
        <v>195895</v>
      </c>
      <c r="C330" s="16" t="n">
        <v>0</v>
      </c>
      <c r="D330" s="16" t="n">
        <v>6</v>
      </c>
      <c r="E330" s="10" t="inlineStr">
        <is>
          <t>0.75</t>
        </is>
      </c>
      <c r="F330" s="12" t="n">
        <v>22.8</v>
      </c>
      <c r="G330" s="18" t="n">
        <v>160000</v>
      </c>
      <c r="H330" s="12" t="n">
        <v>35895</v>
      </c>
      <c r="I330" s="6" t="n"/>
      <c r="J330" s="6">
        <f>IF((B330*0.935 - F330*500) / (1.025*(1+$P$2/100)) &lt;= F330*500/0.15,ROUND(MAX(0, (B330*0.935 - F330*500) / (1.025*(1+$P$2/100))),0),ROUND(MAX(0, B330*0.935 / (1.175*(1+$P$2/100))),0))</f>
        <v/>
      </c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</row>
    <row r="331" ht="12.75" customHeight="1" s="46">
      <c r="A331" s="17" t="inlineStr">
        <is>
          <t>адский посох (старейшина)</t>
        </is>
      </c>
      <c r="B331" s="61" t="n">
        <v>569997</v>
      </c>
      <c r="C331" s="16" t="n">
        <v>0</v>
      </c>
      <c r="D331" s="16" t="n">
        <v>3</v>
      </c>
      <c r="E331" s="10" t="inlineStr">
        <is>
          <t>0.75</t>
        </is>
      </c>
      <c r="F331" s="12" t="n">
        <v>34.2</v>
      </c>
      <c r="G331" s="18" t="n">
        <v>534440</v>
      </c>
      <c r="H331" s="12" t="n">
        <v>35557</v>
      </c>
      <c r="I331" s="6" t="n"/>
      <c r="J331" s="6">
        <f>IF((B331*0.935 - F331*500) / (1.025*(1+$P$2/100)) &lt;= F331*500/0.15,ROUND(MAX(0, (B331*0.935 - F331*500) / (1.025*(1+$P$2/100))),0),ROUND(MAX(0, B331*0.935 / (1.175*(1+$P$2/100))),0))</f>
        <v/>
      </c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</row>
    <row r="332" ht="12.75" customHeight="1" s="46">
      <c r="A332" s="7" t="inlineStr">
        <is>
          <t>морозный посох (знаток)</t>
        </is>
      </c>
      <c r="B332" s="55" t="n">
        <v>10472</v>
      </c>
      <c r="C332" s="9" t="n">
        <v>0</v>
      </c>
      <c r="D332" s="9" t="n">
        <v>100</v>
      </c>
      <c r="E332" s="10" t="inlineStr">
        <is>
          <t>0.55</t>
        </is>
      </c>
      <c r="F332" s="34" t="n">
        <v>5.1</v>
      </c>
      <c r="G332" s="18" t="n">
        <v>3399</v>
      </c>
      <c r="H332" s="12" t="n">
        <v>7073</v>
      </c>
      <c r="I332" s="6" t="n"/>
      <c r="J332" s="6">
        <f>IF((B332*0.935 - F332*500) / (1.025*(1+$P$2/100)) &lt;= F332*500/0.15,ROUND(MAX(0, (B332*0.935 - F332*500) / (1.025*(1+$P$2/100))),0),ROUND(MAX(0, B332*0.935 / (1.175*(1+$P$2/100))),0))</f>
        <v/>
      </c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</row>
    <row r="333" ht="12.75" customHeight="1" s="46">
      <c r="A333" s="13" t="inlineStr">
        <is>
          <t>морозный посох (эксперт)</t>
        </is>
      </c>
      <c r="B333" s="55" t="n">
        <v>28266</v>
      </c>
      <c r="C333" s="9" t="n">
        <v>0</v>
      </c>
      <c r="D333" s="9" t="n">
        <v>70</v>
      </c>
      <c r="E333" s="10" t="inlineStr">
        <is>
          <t>0.70</t>
        </is>
      </c>
      <c r="F333" s="34" t="n">
        <v>7.6</v>
      </c>
      <c r="G333" s="18" t="n">
        <v>14997</v>
      </c>
      <c r="H333" s="12" t="n">
        <v>13269</v>
      </c>
      <c r="I333" s="6" t="n"/>
      <c r="J333" s="6">
        <f>IF((B333*0.935 - F333*500) / (1.025*(1+$P$2/100)) &lt;= F333*500/0.15,ROUND(MAX(0, (B333*0.935 - F333*500) / (1.025*(1+$P$2/100))),0),ROUND(MAX(0, B333*0.935 / (1.175*(1+$P$2/100))),0))</f>
        <v/>
      </c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</row>
    <row r="334" ht="12.75" customHeight="1" s="46">
      <c r="A334" s="14" t="inlineStr">
        <is>
          <t>морозный посох (мастер)</t>
        </is>
      </c>
      <c r="B334" s="55" t="n">
        <v>51065</v>
      </c>
      <c r="C334" s="9" t="n">
        <v>0</v>
      </c>
      <c r="D334" s="9" t="n">
        <v>35</v>
      </c>
      <c r="E334" s="10" t="inlineStr">
        <is>
          <t>0.80</t>
        </is>
      </c>
      <c r="F334" s="34" t="n">
        <v>11.4</v>
      </c>
      <c r="G334" s="18" t="n">
        <v>34900</v>
      </c>
      <c r="H334" s="12" t="n">
        <v>16165</v>
      </c>
      <c r="I334" s="6" t="n"/>
      <c r="J334" s="6">
        <f>IF((B334*0.935 - F334*500) / (1.025*(1+$P$2/100)) &lt;= F334*500/0.15,ROUND(MAX(0, (B334*0.935 - F334*500) / (1.025*(1+$P$2/100))),0),ROUND(MAX(0, B334*0.935 / (1.175*(1+$P$2/100))),0))</f>
        <v/>
      </c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</row>
    <row r="335" ht="12.75" customHeight="1" s="46">
      <c r="A335" s="15" t="inlineStr">
        <is>
          <t>морозный посох (магистр)</t>
        </is>
      </c>
      <c r="B335" s="55" t="n">
        <v>223966</v>
      </c>
      <c r="C335" s="16" t="n">
        <v>0</v>
      </c>
      <c r="D335" s="16" t="n">
        <v>6</v>
      </c>
      <c r="E335" s="10" t="inlineStr">
        <is>
          <t>0.75</t>
        </is>
      </c>
      <c r="F335" s="34" t="n">
        <v>17.1</v>
      </c>
      <c r="G335" s="18" t="n">
        <v>134989</v>
      </c>
      <c r="H335" s="12" t="n">
        <v>88977</v>
      </c>
      <c r="I335" s="6" t="n"/>
      <c r="J335" s="6">
        <f>IF((B335*0.935 - F335*500) / (1.025*(1+$P$2/100)) &lt;= F335*500/0.15,ROUND(MAX(0, (B335*0.935 - F335*500) / (1.025*(1+$P$2/100))),0),ROUND(MAX(0, B335*0.935 / (1.175*(1+$P$2/100))),0))</f>
        <v/>
      </c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</row>
    <row r="336" ht="12.75" customHeight="1" s="46">
      <c r="A336" s="17" t="inlineStr">
        <is>
          <t>морозный посох (старейшина)</t>
        </is>
      </c>
      <c r="B336" s="55" t="n">
        <v>549482</v>
      </c>
      <c r="C336" s="16" t="n">
        <v>0</v>
      </c>
      <c r="D336" s="16" t="n">
        <v>3</v>
      </c>
      <c r="E336" s="10" t="inlineStr">
        <is>
          <t>0.75</t>
        </is>
      </c>
      <c r="F336" s="34" t="n">
        <v>25.6</v>
      </c>
      <c r="G336" s="18" t="n">
        <v>434977</v>
      </c>
      <c r="H336" s="12" t="n">
        <v>114505</v>
      </c>
      <c r="I336" s="6" t="n"/>
      <c r="J336" s="6">
        <f>IF((B336*0.935 - F336*500) / (1.025*(1+$P$2/100)) &lt;= F336*500/0.15,ROUND(MAX(0, (B336*0.935 - F336*500) / (1.025*(1+$P$2/100))),0),ROUND(MAX(0, B336*0.935 / (1.175*(1+$P$2/100))),0))</f>
        <v/>
      </c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</row>
    <row r="337" ht="12.75" customHeight="1" s="46">
      <c r="A337" s="7" t="inlineStr">
        <is>
          <t>большой морозный посох (знаток)</t>
        </is>
      </c>
      <c r="B337" s="56" t="n">
        <v>13465</v>
      </c>
      <c r="C337" s="9" t="n">
        <v>0</v>
      </c>
      <c r="D337" s="9" t="n">
        <v>100</v>
      </c>
      <c r="E337" s="10" t="inlineStr">
        <is>
          <t>0.55</t>
        </is>
      </c>
      <c r="F337" s="12" t="n">
        <v>6.8</v>
      </c>
      <c r="G337" s="18" t="n">
        <v>5997</v>
      </c>
      <c r="H337" s="12" t="n">
        <v>7468</v>
      </c>
      <c r="I337" s="6" t="n"/>
      <c r="J337" s="6">
        <f>IF((B337*0.935 - F337*500) / (1.025*(1+$P$2/100)) &lt;= F337*500/0.15,ROUND(MAX(0, (B337*0.935 - F337*500) / (1.025*(1+$P$2/100))),0),ROUND(MAX(0, B337*0.935 / (1.175*(1+$P$2/100))),0))</f>
        <v/>
      </c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</row>
    <row r="338" ht="12.75" customHeight="1" s="46">
      <c r="A338" s="13" t="inlineStr">
        <is>
          <t>большой морозный посох (эксперт)</t>
        </is>
      </c>
      <c r="B338" s="56" t="n">
        <v>31888</v>
      </c>
      <c r="C338" s="9" t="n">
        <v>0</v>
      </c>
      <c r="D338" s="9" t="n">
        <v>70</v>
      </c>
      <c r="E338" s="10" t="inlineStr">
        <is>
          <t>0.70</t>
        </is>
      </c>
      <c r="F338" s="12" t="n">
        <v>10.1</v>
      </c>
      <c r="G338" s="18" t="n">
        <v>17991</v>
      </c>
      <c r="H338" s="12" t="n">
        <v>13897</v>
      </c>
      <c r="I338" s="6" t="n"/>
      <c r="J338" s="6">
        <f>IF((B338*0.935 - F338*500) / (1.025*(1+$P$2/100)) &lt;= F338*500/0.15,ROUND(MAX(0, (B338*0.935 - F338*500) / (1.025*(1+$P$2/100))),0),ROUND(MAX(0, B338*0.935 / (1.175*(1+$P$2/100))),0))</f>
        <v/>
      </c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</row>
    <row r="339" ht="12.75" customHeight="1" s="46">
      <c r="A339" s="14" t="inlineStr">
        <is>
          <t>большой морозный посох (мастер)</t>
        </is>
      </c>
      <c r="B339" s="56" t="n">
        <v>68225</v>
      </c>
      <c r="C339" s="9" t="n">
        <v>0</v>
      </c>
      <c r="D339" s="9" t="n">
        <v>35</v>
      </c>
      <c r="E339" s="10" t="inlineStr">
        <is>
          <t>0.80</t>
        </is>
      </c>
      <c r="F339" s="12" t="n">
        <v>15.2</v>
      </c>
      <c r="G339" s="18" t="n">
        <v>52989</v>
      </c>
      <c r="H339" s="12" t="n">
        <v>15236</v>
      </c>
      <c r="I339" s="6" t="n"/>
      <c r="J339" s="6">
        <f>IF((B339*0.935 - F339*500) / (1.025*(1+$P$2/100)) &lt;= F339*500/0.15,ROUND(MAX(0, (B339*0.935 - F339*500) / (1.025*(1+$P$2/100))),0),ROUND(MAX(0, B339*0.935 / (1.175*(1+$P$2/100))),0))</f>
        <v/>
      </c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</row>
    <row r="340" ht="12.75" customHeight="1" s="46">
      <c r="A340" s="15" t="inlineStr">
        <is>
          <t>большой морозный посох (магистр)</t>
        </is>
      </c>
      <c r="B340" s="56" t="n">
        <v>214990</v>
      </c>
      <c r="C340" s="16" t="n">
        <v>0</v>
      </c>
      <c r="D340" s="16" t="n">
        <v>6</v>
      </c>
      <c r="E340" s="10" t="inlineStr">
        <is>
          <t>0.75</t>
        </is>
      </c>
      <c r="F340" s="12" t="n">
        <v>22.8</v>
      </c>
      <c r="G340" s="18" t="n">
        <v>172000</v>
      </c>
      <c r="H340" s="12" t="n">
        <v>42990</v>
      </c>
      <c r="I340" s="6" t="n"/>
      <c r="J340" s="6">
        <f>IF((B340*0.935 - F340*500) / (1.025*(1+$P$2/100)) &lt;= F340*500/0.15,ROUND(MAX(0, (B340*0.935 - F340*500) / (1.025*(1+$P$2/100))),0),ROUND(MAX(0, B340*0.935 / (1.175*(1+$P$2/100))),0))</f>
        <v/>
      </c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</row>
    <row r="341" ht="12.75" customHeight="1" s="46">
      <c r="A341" s="17" t="inlineStr">
        <is>
          <t>большой морозный посох (старейшина)</t>
        </is>
      </c>
      <c r="B341" s="56" t="n">
        <v>655000</v>
      </c>
      <c r="C341" s="16" t="n">
        <v>0</v>
      </c>
      <c r="D341" s="16" t="n">
        <v>3</v>
      </c>
      <c r="E341" s="10" t="inlineStr">
        <is>
          <t>0.75</t>
        </is>
      </c>
      <c r="F341" s="12" t="n">
        <v>34.2</v>
      </c>
      <c r="G341" s="18" t="n">
        <v>589995</v>
      </c>
      <c r="H341" s="12" t="n">
        <v>65005</v>
      </c>
      <c r="I341" s="6" t="n"/>
      <c r="J341" s="6">
        <f>IF((B341*0.935 - F341*500) / (1.025*(1+$P$2/100)) &lt;= F341*500/0.15,ROUND(MAX(0, (B341*0.935 - F341*500) / (1.025*(1+$P$2/100))),0),ROUND(MAX(0, B341*0.935 / (1.175*(1+$P$2/100))),0))</f>
        <v/>
      </c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</row>
    <row r="342" ht="12.75" customHeight="1" s="46">
      <c r="A342" s="7" t="inlineStr">
        <is>
          <t>ледяной посох (знаток)</t>
        </is>
      </c>
      <c r="B342" s="57" t="n">
        <v>14632</v>
      </c>
      <c r="C342" s="9" t="n">
        <v>0</v>
      </c>
      <c r="D342" s="9" t="n">
        <v>100</v>
      </c>
      <c r="E342" s="10" t="inlineStr">
        <is>
          <t>0.55</t>
        </is>
      </c>
      <c r="F342" s="12" t="n">
        <v>6.8</v>
      </c>
      <c r="G342" s="18" t="n">
        <v>7086</v>
      </c>
      <c r="H342" s="12" t="n">
        <v>7546</v>
      </c>
      <c r="I342" s="6" t="n"/>
      <c r="J342" s="6">
        <f>IF((B342*0.935 - F342*500) / (1.025*(1+$P$2/100)) &lt;= F342*500/0.15,ROUND(MAX(0, (B342*0.935 - F342*500) / (1.025*(1+$P$2/100))),0),ROUND(MAX(0, B342*0.935 / (1.175*(1+$P$2/100))),0))</f>
        <v/>
      </c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</row>
    <row r="343" ht="12.75" customHeight="1" s="46">
      <c r="A343" s="13" t="inlineStr">
        <is>
          <t>ледяной посох (эксперт)</t>
        </is>
      </c>
      <c r="B343" s="57" t="n">
        <v>29724</v>
      </c>
      <c r="C343" s="9" t="n">
        <v>0</v>
      </c>
      <c r="D343" s="9" t="n">
        <v>70</v>
      </c>
      <c r="E343" s="10" t="inlineStr">
        <is>
          <t>0.70</t>
        </is>
      </c>
      <c r="F343" s="12" t="n">
        <v>10.1</v>
      </c>
      <c r="G343" s="18" t="n">
        <v>17880</v>
      </c>
      <c r="H343" s="12" t="n">
        <v>11844</v>
      </c>
      <c r="I343" s="6" t="n"/>
      <c r="J343" s="6">
        <f>IF((B343*0.935 - F343*500) / (1.025*(1+$P$2/100)) &lt;= F343*500/0.15,ROUND(MAX(0, (B343*0.935 - F343*500) / (1.025*(1+$P$2/100))),0),ROUND(MAX(0, B343*0.935 / (1.175*(1+$P$2/100))),0))</f>
        <v/>
      </c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</row>
    <row r="344" ht="12.75" customHeight="1" s="46">
      <c r="A344" s="14" t="inlineStr">
        <is>
          <t>ледяной посох (мастер)</t>
        </is>
      </c>
      <c r="B344" s="57" t="n">
        <v>69996</v>
      </c>
      <c r="C344" s="9" t="n">
        <v>0</v>
      </c>
      <c r="D344" s="9" t="n">
        <v>35</v>
      </c>
      <c r="E344" s="10" t="inlineStr">
        <is>
          <t>0.80</t>
        </is>
      </c>
      <c r="F344" s="12" t="n">
        <v>15.2</v>
      </c>
      <c r="G344" s="18" t="n">
        <v>46999</v>
      </c>
      <c r="H344" s="12" t="n">
        <v>22997</v>
      </c>
      <c r="I344" s="6" t="n"/>
      <c r="J344" s="6">
        <f>IF((B344*0.935 - F344*500) / (1.025*(1+$P$2/100)) &lt;= F344*500/0.15,ROUND(MAX(0, (B344*0.935 - F344*500) / (1.025*(1+$P$2/100))),0),ROUND(MAX(0, B344*0.935 / (1.175*(1+$P$2/100))),0))</f>
        <v/>
      </c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</row>
    <row r="345" ht="12.75" customHeight="1" s="46">
      <c r="A345" s="15" t="inlineStr">
        <is>
          <t>ледяной посох (магистр)</t>
        </is>
      </c>
      <c r="B345" s="57" t="n">
        <v>203979</v>
      </c>
      <c r="C345" s="16" t="n">
        <v>0</v>
      </c>
      <c r="D345" s="16" t="n">
        <v>6</v>
      </c>
      <c r="E345" s="10" t="inlineStr">
        <is>
          <t>0.75</t>
        </is>
      </c>
      <c r="F345" s="12" t="n">
        <v>22.8</v>
      </c>
      <c r="G345" s="18" t="n">
        <v>159000</v>
      </c>
      <c r="H345" s="12" t="n">
        <v>44979</v>
      </c>
      <c r="I345" s="6" t="n"/>
      <c r="J345" s="6">
        <f>IF((B345*0.935 - F345*500) / (1.025*(1+$P$2/100)) &lt;= F345*500/0.15,ROUND(MAX(0, (B345*0.935 - F345*500) / (1.025*(1+$P$2/100))),0),ROUND(MAX(0, B345*0.935 / (1.175*(1+$P$2/100))),0))</f>
        <v/>
      </c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</row>
    <row r="346" ht="12.75" customHeight="1" s="46">
      <c r="A346" s="17" t="inlineStr">
        <is>
          <t>ледяной посох (старейшина)</t>
        </is>
      </c>
      <c r="B346" s="57" t="n">
        <v>686503</v>
      </c>
      <c r="C346" s="16" t="n">
        <v>0</v>
      </c>
      <c r="D346" s="16" t="n">
        <v>3</v>
      </c>
      <c r="E346" s="10" t="inlineStr">
        <is>
          <t>0.75</t>
        </is>
      </c>
      <c r="F346" s="12" t="n">
        <v>34.2</v>
      </c>
      <c r="G346" s="18" t="n">
        <v>749996</v>
      </c>
      <c r="H346" s="12" t="n">
        <v>-63493</v>
      </c>
      <c r="I346" s="6" t="n"/>
      <c r="J346" s="6">
        <f>IF((B346*0.935 - F346*500) / (1.025*(1+$P$2/100)) &lt;= F346*500/0.15,ROUND(MAX(0, (B346*0.935 - F346*500) / (1.025*(1+$P$2/100))),0),ROUND(MAX(0, B346*0.935 / (1.175*(1+$P$2/100))),0))</f>
        <v/>
      </c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</row>
    <row r="347" ht="12.75" customHeight="1" s="46">
      <c r="A347" s="7" t="inlineStr">
        <is>
          <t>священный посох (знаток)</t>
        </is>
      </c>
      <c r="B347" s="60" t="n">
        <v>7350</v>
      </c>
      <c r="C347" s="9" t="n">
        <v>0</v>
      </c>
      <c r="D347" s="9" t="n">
        <v>100</v>
      </c>
      <c r="E347" s="10" t="inlineStr">
        <is>
          <t>0.55</t>
        </is>
      </c>
      <c r="F347" s="34" t="n">
        <v>5.1</v>
      </c>
      <c r="G347" s="18" t="n">
        <v>3294</v>
      </c>
      <c r="H347" s="12" t="n">
        <v>4056</v>
      </c>
      <c r="I347" s="6" t="n"/>
      <c r="J347" s="6">
        <f>IF((B347*0.935 - F347*500) / (1.025*(1+$P$2/100)) &lt;= F347*500/0.15,ROUND(MAX(0, (B347*0.935 - F347*500) / (1.025*(1+$P$2/100))),0),ROUND(MAX(0, B347*0.935 / (1.175*(1+$P$2/100))),0))</f>
        <v/>
      </c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</row>
    <row r="348" ht="12.75" customHeight="1" s="46">
      <c r="A348" s="13" t="inlineStr">
        <is>
          <t>священный посох (эксперт)</t>
        </is>
      </c>
      <c r="B348" s="60" t="n">
        <v>17886</v>
      </c>
      <c r="C348" s="9" t="n">
        <v>0</v>
      </c>
      <c r="D348" s="9" t="n">
        <v>70</v>
      </c>
      <c r="E348" s="10" t="inlineStr">
        <is>
          <t>0.70</t>
        </is>
      </c>
      <c r="F348" s="34" t="n">
        <v>7.6</v>
      </c>
      <c r="G348" s="18" t="n">
        <v>9989</v>
      </c>
      <c r="H348" s="12" t="n">
        <v>7897</v>
      </c>
      <c r="I348" s="6" t="n"/>
      <c r="J348" s="6">
        <f>IF((B348*0.935 - F348*500) / (1.025*(1+$P$2/100)) &lt;= F348*500/0.15,ROUND(MAX(0, (B348*0.935 - F348*500) / (1.025*(1+$P$2/100))),0),ROUND(MAX(0, B348*0.935 / (1.175*(1+$P$2/100))),0))</f>
        <v/>
      </c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</row>
    <row r="349" ht="12.75" customHeight="1" s="46">
      <c r="A349" s="14" t="inlineStr">
        <is>
          <t>священный посох (мастер)</t>
        </is>
      </c>
      <c r="B349" s="60" t="n">
        <v>75950</v>
      </c>
      <c r="C349" s="9" t="n">
        <v>0</v>
      </c>
      <c r="D349" s="9" t="n">
        <v>35</v>
      </c>
      <c r="E349" s="10" t="inlineStr">
        <is>
          <t>0.80</t>
        </is>
      </c>
      <c r="F349" s="34" t="n">
        <v>11.4</v>
      </c>
      <c r="G349" s="18" t="n">
        <v>59898</v>
      </c>
      <c r="H349" s="12" t="n">
        <v>16052</v>
      </c>
      <c r="I349" s="6" t="n"/>
      <c r="J349" s="6">
        <f>IF((B349*0.935 - F349*500) / (1.025*(1+$P$2/100)) &lt;= F349*500/0.15,ROUND(MAX(0, (B349*0.935 - F349*500) / (1.025*(1+$P$2/100))),0),ROUND(MAX(0, B349*0.935 / (1.175*(1+$P$2/100))),0))</f>
        <v/>
      </c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</row>
    <row r="350" ht="12.75" customHeight="1" s="46">
      <c r="A350" s="15" t="inlineStr">
        <is>
          <t>священный посох (магистр)</t>
        </is>
      </c>
      <c r="B350" s="60" t="n">
        <v>189761</v>
      </c>
      <c r="C350" s="16" t="n">
        <v>0</v>
      </c>
      <c r="D350" s="16" t="n">
        <v>6</v>
      </c>
      <c r="E350" s="10" t="inlineStr">
        <is>
          <t>0.75</t>
        </is>
      </c>
      <c r="F350" s="34" t="n">
        <v>17.1</v>
      </c>
      <c r="G350" s="18" t="n">
        <v>148999</v>
      </c>
      <c r="H350" s="12" t="n">
        <v>40762</v>
      </c>
      <c r="I350" s="6" t="n"/>
      <c r="J350" s="6">
        <f>IF((B350*0.935 - F350*500) / (1.025*(1+$P$2/100)) &lt;= F350*500/0.15,ROUND(MAX(0, (B350*0.935 - F350*500) / (1.025*(1+$P$2/100))),0),ROUND(MAX(0, B350*0.935 / (1.175*(1+$P$2/100))),0))</f>
        <v/>
      </c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</row>
    <row r="351" ht="12.75" customHeight="1" s="46">
      <c r="A351" s="17" t="inlineStr">
        <is>
          <t>священный посох (старейшина)</t>
        </is>
      </c>
      <c r="B351" s="60" t="n">
        <v>629988</v>
      </c>
      <c r="C351" s="16" t="n">
        <v>0</v>
      </c>
      <c r="D351" s="16" t="n">
        <v>3</v>
      </c>
      <c r="E351" s="10" t="inlineStr">
        <is>
          <t>0.75</t>
        </is>
      </c>
      <c r="F351" s="34" t="n">
        <v>25.6</v>
      </c>
      <c r="G351" s="18" t="n">
        <v>577999</v>
      </c>
      <c r="H351" s="12" t="n">
        <v>51989</v>
      </c>
      <c r="I351" s="6" t="n"/>
      <c r="J351" s="6">
        <f>IF((B351*0.935 - F351*500) / (1.025*(1+$P$2/100)) &lt;= F351*500/0.15,ROUND(MAX(0, (B351*0.935 - F351*500) / (1.025*(1+$P$2/100))),0),ROUND(MAX(0, B351*0.935 / (1.175*(1+$P$2/100))),0))</f>
        <v/>
      </c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</row>
    <row r="352" ht="12.75" customHeight="1" s="46">
      <c r="A352" s="7" t="inlineStr">
        <is>
          <t>большой священный посох (знаток)</t>
        </is>
      </c>
      <c r="B352" s="61" t="n">
        <v>10993</v>
      </c>
      <c r="C352" s="9" t="n">
        <v>0</v>
      </c>
      <c r="D352" s="9" t="n">
        <v>100</v>
      </c>
      <c r="E352" s="10" t="inlineStr">
        <is>
          <t>0.55</t>
        </is>
      </c>
      <c r="F352" s="12" t="n">
        <v>6.8</v>
      </c>
      <c r="G352" s="18" t="n">
        <v>7344</v>
      </c>
      <c r="H352" s="12" t="n">
        <v>3649</v>
      </c>
      <c r="I352" s="6" t="n"/>
      <c r="J352" s="6">
        <f>IF((B352*0.935 - F352*500) / (1.025*(1+$P$2/100)) &lt;= F352*500/0.15,ROUND(MAX(0, (B352*0.935 - F352*500) / (1.025*(1+$P$2/100))),0),ROUND(MAX(0, B352*0.935 / (1.175*(1+$P$2/100))),0))</f>
        <v/>
      </c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</row>
    <row r="353" ht="12.75" customHeight="1" s="46">
      <c r="A353" s="13" t="inlineStr">
        <is>
          <t>большой священный посох (эксперт)</t>
        </is>
      </c>
      <c r="B353" s="61" t="n">
        <v>26628</v>
      </c>
      <c r="C353" s="9" t="n">
        <v>0</v>
      </c>
      <c r="D353" s="9" t="n">
        <v>70</v>
      </c>
      <c r="E353" s="10" t="inlineStr">
        <is>
          <t>0.70</t>
        </is>
      </c>
      <c r="F353" s="12" t="n">
        <v>10.1</v>
      </c>
      <c r="G353" s="18" t="n">
        <v>13989</v>
      </c>
      <c r="H353" s="12" t="n">
        <v>12639</v>
      </c>
      <c r="I353" s="6" t="n"/>
      <c r="J353" s="6">
        <f>IF((B353*0.935 - F353*500) / (1.025*(1+$P$2/100)) &lt;= F353*500/0.15,ROUND(MAX(0, (B353*0.935 - F353*500) / (1.025*(1+$P$2/100))),0),ROUND(MAX(0, B353*0.935 / (1.175*(1+$P$2/100))),0))</f>
        <v/>
      </c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</row>
    <row r="354" ht="12.75" customHeight="1" s="46">
      <c r="A354" s="14" t="inlineStr">
        <is>
          <t>большой священный посох (мастер)</t>
        </is>
      </c>
      <c r="B354" s="61" t="n">
        <v>81159</v>
      </c>
      <c r="C354" s="9" t="n">
        <v>0</v>
      </c>
      <c r="D354" s="9" t="n">
        <v>35</v>
      </c>
      <c r="E354" s="10" t="inlineStr">
        <is>
          <t>0.80</t>
        </is>
      </c>
      <c r="F354" s="12" t="n">
        <v>15.2</v>
      </c>
      <c r="G354" s="18" t="n">
        <v>49980</v>
      </c>
      <c r="H354" s="12" t="n">
        <v>31179</v>
      </c>
      <c r="I354" s="6" t="n"/>
      <c r="J354" s="6">
        <f>IF((B354*0.935 - F354*500) / (1.025*(1+$P$2/100)) &lt;= F354*500/0.15,ROUND(MAX(0, (B354*0.935 - F354*500) / (1.025*(1+$P$2/100))),0),ROUND(MAX(0, B354*0.935 / (1.175*(1+$P$2/100))),0))</f>
        <v/>
      </c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</row>
    <row r="355" ht="12.75" customHeight="1" s="46">
      <c r="A355" s="15" t="inlineStr">
        <is>
          <t>большой священный посох (магистр)</t>
        </is>
      </c>
      <c r="B355" s="61" t="n">
        <v>253930</v>
      </c>
      <c r="C355" s="16" t="n">
        <v>0</v>
      </c>
      <c r="D355" s="16" t="n">
        <v>6</v>
      </c>
      <c r="E355" s="10" t="inlineStr">
        <is>
          <t>0.75</t>
        </is>
      </c>
      <c r="F355" s="12" t="n">
        <v>22.8</v>
      </c>
      <c r="G355" s="18" t="n">
        <v>199989</v>
      </c>
      <c r="H355" s="12" t="n">
        <v>53941</v>
      </c>
      <c r="I355" s="6" t="n"/>
      <c r="J355" s="6">
        <f>IF((B355*0.935 - F355*500) / (1.025*(1+$P$2/100)) &lt;= F355*500/0.15,ROUND(MAX(0, (B355*0.935 - F355*500) / (1.025*(1+$P$2/100))),0),ROUND(MAX(0, B355*0.935 / (1.175*(1+$P$2/100))),0))</f>
        <v/>
      </c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</row>
    <row r="356" ht="12.75" customHeight="1" s="46">
      <c r="A356" s="17" t="inlineStr">
        <is>
          <t>большой священный посох (старейшина)</t>
        </is>
      </c>
      <c r="B356" s="61" t="n">
        <v>695044</v>
      </c>
      <c r="C356" s="16" t="n">
        <v>0</v>
      </c>
      <c r="D356" s="16" t="n">
        <v>3</v>
      </c>
      <c r="E356" s="10" t="inlineStr">
        <is>
          <t>0.75</t>
        </is>
      </c>
      <c r="F356" s="12" t="n">
        <v>34.2</v>
      </c>
      <c r="G356" s="18" t="n">
        <v>559962</v>
      </c>
      <c r="H356" s="12" t="n">
        <v>135082</v>
      </c>
      <c r="I356" s="6" t="n"/>
      <c r="J356" s="6">
        <f>IF((B356*0.935 - F356*500) / (1.025*(1+$P$2/100)) &lt;= F356*500/0.15,ROUND(MAX(0, (B356*0.935 - F356*500) / (1.025*(1+$P$2/100))),0),ROUND(MAX(0, B356*0.935 / (1.175*(1+$P$2/100))),0))</f>
        <v/>
      </c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</row>
    <row r="357" ht="12.75" customHeight="1" s="46">
      <c r="A357" s="7" t="inlineStr">
        <is>
          <t>божественный посох (знаток)</t>
        </is>
      </c>
      <c r="B357" s="55" t="n">
        <v>11279</v>
      </c>
      <c r="C357" s="9" t="n">
        <v>0</v>
      </c>
      <c r="D357" s="9" t="n">
        <v>100</v>
      </c>
      <c r="E357" s="10" t="inlineStr">
        <is>
          <t>0.55</t>
        </is>
      </c>
      <c r="F357" s="12" t="n">
        <v>6.8</v>
      </c>
      <c r="G357" s="18" t="n">
        <v>3485</v>
      </c>
      <c r="H357" s="12" t="n">
        <v>7794</v>
      </c>
      <c r="I357" s="6" t="n"/>
      <c r="J357" s="6">
        <f>IF((B357*0.935 - F357*500) / (1.025*(1+$P$2/100)) &lt;= F357*500/0.15,ROUND(MAX(0, (B357*0.935 - F357*500) / (1.025*(1+$P$2/100))),0),ROUND(MAX(0, B357*0.935 / (1.175*(1+$P$2/100))),0))</f>
        <v/>
      </c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</row>
    <row r="358" ht="12.75" customHeight="1" s="46">
      <c r="A358" s="13" t="inlineStr">
        <is>
          <t>божественный посох (эксперт)</t>
        </is>
      </c>
      <c r="B358" s="55" t="n">
        <v>51107</v>
      </c>
      <c r="C358" s="9" t="n">
        <v>0</v>
      </c>
      <c r="D358" s="9" t="n">
        <v>70</v>
      </c>
      <c r="E358" s="10" t="inlineStr">
        <is>
          <t>0.70</t>
        </is>
      </c>
      <c r="F358" s="12" t="n">
        <v>10.1</v>
      </c>
      <c r="G358" s="18" t="n">
        <v>20000</v>
      </c>
      <c r="H358" s="12" t="n">
        <v>31107</v>
      </c>
      <c r="I358" s="6" t="n"/>
      <c r="J358" s="6">
        <f>IF((B358*0.935 - F358*500) / (1.025*(1+$P$2/100)) &lt;= F358*500/0.15,ROUND(MAX(0, (B358*0.935 - F358*500) / (1.025*(1+$P$2/100))),0),ROUND(MAX(0, B358*0.935 / (1.175*(1+$P$2/100))),0))</f>
        <v/>
      </c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</row>
    <row r="359" ht="12.75" customHeight="1" s="46">
      <c r="A359" s="14" t="inlineStr">
        <is>
          <t>божественный посох (мастер)</t>
        </is>
      </c>
      <c r="B359" s="55" t="n">
        <v>88678</v>
      </c>
      <c r="C359" s="9" t="n">
        <v>0</v>
      </c>
      <c r="D359" s="9" t="n">
        <v>35</v>
      </c>
      <c r="E359" s="10" t="inlineStr">
        <is>
          <t>0.80</t>
        </is>
      </c>
      <c r="F359" s="12" t="n">
        <v>15.2</v>
      </c>
      <c r="G359" s="18" t="n">
        <v>48997</v>
      </c>
      <c r="H359" s="12" t="n">
        <v>39681</v>
      </c>
      <c r="I359" s="6" t="n"/>
      <c r="J359" s="6">
        <f>IF((B359*0.935 - F359*500) / (1.025*(1+$P$2/100)) &lt;= F359*500/0.15,ROUND(MAX(0, (B359*0.935 - F359*500) / (1.025*(1+$P$2/100))),0),ROUND(MAX(0, B359*0.935 / (1.175*(1+$P$2/100))),0))</f>
        <v/>
      </c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</row>
    <row r="360" ht="12.75" customHeight="1" s="46">
      <c r="A360" s="15" t="inlineStr">
        <is>
          <t>божественный посох (магистр)</t>
        </is>
      </c>
      <c r="B360" s="55" t="n">
        <v>262688</v>
      </c>
      <c r="C360" s="16" t="n">
        <v>0</v>
      </c>
      <c r="D360" s="16" t="n">
        <v>6</v>
      </c>
      <c r="E360" s="10" t="inlineStr">
        <is>
          <t>0.75</t>
        </is>
      </c>
      <c r="F360" s="12" t="n">
        <v>22.8</v>
      </c>
      <c r="G360" s="18" t="n">
        <v>199191</v>
      </c>
      <c r="H360" s="12" t="n">
        <v>63497</v>
      </c>
      <c r="I360" s="6" t="n"/>
      <c r="J360" s="6">
        <f>IF((B360*0.935 - F360*500) / (1.025*(1+$P$2/100)) &lt;= F360*500/0.15,ROUND(MAX(0, (B360*0.935 - F360*500) / (1.025*(1+$P$2/100))),0),ROUND(MAX(0, B360*0.935 / (1.175*(1+$P$2/100))),0))</f>
        <v/>
      </c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</row>
    <row r="361" ht="12.75" customHeight="1" s="46">
      <c r="A361" s="17" t="inlineStr">
        <is>
          <t>божественный посох (старейшина)</t>
        </is>
      </c>
      <c r="B361" s="55" t="n">
        <v>640974</v>
      </c>
      <c r="C361" s="16" t="n">
        <v>0</v>
      </c>
      <c r="D361" s="16" t="n">
        <v>3</v>
      </c>
      <c r="E361" s="10" t="inlineStr">
        <is>
          <t>0.75</t>
        </is>
      </c>
      <c r="F361" s="12" t="n">
        <v>34.2</v>
      </c>
      <c r="G361" s="18" t="n">
        <v>525988</v>
      </c>
      <c r="H361" s="12" t="n">
        <v>114986</v>
      </c>
      <c r="I361" s="6" t="n"/>
      <c r="J361" s="6">
        <f>IF((B361*0.935 - F361*500) / (1.025*(1+$P$2/100)) &lt;= F361*500/0.15,ROUND(MAX(0, (B361*0.935 - F361*500) / (1.025*(1+$P$2/100))),0),ROUND(MAX(0, B361*0.935 / (1.175*(1+$P$2/100))),0))</f>
        <v/>
      </c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</row>
    <row r="362" ht="12.75" customHeight="1" s="46">
      <c r="A362" s="7" t="inlineStr">
        <is>
          <t>древесный посох (знаток)</t>
        </is>
      </c>
      <c r="B362" s="56" t="n">
        <v>7998</v>
      </c>
      <c r="C362" s="9" t="n">
        <v>0</v>
      </c>
      <c r="D362" s="9" t="n">
        <v>100</v>
      </c>
      <c r="E362" s="10" t="inlineStr">
        <is>
          <t>0.55</t>
        </is>
      </c>
      <c r="F362" s="34" t="n">
        <v>5.1</v>
      </c>
      <c r="G362" s="18" t="n">
        <v>2999</v>
      </c>
      <c r="H362" s="12" t="n">
        <v>4999</v>
      </c>
      <c r="I362" s="6" t="n"/>
      <c r="J362" s="6">
        <f>IF((B362*0.935 - F362*500) / (1.025*(1+$P$2/100)) &lt;= F362*500/0.15,ROUND(MAX(0, (B362*0.935 - F362*500) / (1.025*(1+$P$2/100))),0),ROUND(MAX(0, B362*0.935 / (1.175*(1+$P$2/100))),0))</f>
        <v/>
      </c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</row>
    <row r="363" ht="12.75" customHeight="1" s="46">
      <c r="A363" s="13" t="inlineStr">
        <is>
          <t>древесный посох (эксперт)</t>
        </is>
      </c>
      <c r="B363" s="56" t="n">
        <v>15998</v>
      </c>
      <c r="C363" s="9" t="n">
        <v>0</v>
      </c>
      <c r="D363" s="9" t="n">
        <v>70</v>
      </c>
      <c r="E363" s="10" t="inlineStr">
        <is>
          <t>0.70</t>
        </is>
      </c>
      <c r="F363" s="34" t="n">
        <v>7.6</v>
      </c>
      <c r="G363" s="18" t="n">
        <v>8438</v>
      </c>
      <c r="H363" s="12" t="n">
        <v>7560</v>
      </c>
      <c r="I363" s="6" t="n"/>
      <c r="J363" s="6">
        <f>IF((B363*0.935 - F363*500) / (1.025*(1+$P$2/100)) &lt;= F363*500/0.15,ROUND(MAX(0, (B363*0.935 - F363*500) / (1.025*(1+$P$2/100))),0),ROUND(MAX(0, B363*0.935 / (1.175*(1+$P$2/100))),0))</f>
        <v/>
      </c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</row>
    <row r="364" ht="12.75" customHeight="1" s="46">
      <c r="A364" s="14" t="inlineStr">
        <is>
          <t>древесный посох (мастер)</t>
        </is>
      </c>
      <c r="B364" s="56" t="n">
        <v>52411</v>
      </c>
      <c r="C364" s="9" t="n">
        <v>0</v>
      </c>
      <c r="D364" s="9" t="n">
        <v>35</v>
      </c>
      <c r="E364" s="10" t="inlineStr">
        <is>
          <t>0.80</t>
        </is>
      </c>
      <c r="F364" s="34" t="n">
        <v>11.4</v>
      </c>
      <c r="G364" s="18" t="n">
        <v>32796</v>
      </c>
      <c r="H364" s="12" t="n">
        <v>19615</v>
      </c>
      <c r="I364" s="6" t="n"/>
      <c r="J364" s="6">
        <f>IF((B364*0.935 - F364*500) / (1.025*(1+$P$2/100)) &lt;= F364*500/0.15,ROUND(MAX(0, (B364*0.935 - F364*500) / (1.025*(1+$P$2/100))),0),ROUND(MAX(0, B364*0.935 / (1.175*(1+$P$2/100))),0))</f>
        <v/>
      </c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</row>
    <row r="365" ht="12.75" customHeight="1" s="46">
      <c r="A365" s="15" t="inlineStr">
        <is>
          <t>древесный посох (магистр)</t>
        </is>
      </c>
      <c r="B365" s="56" t="n">
        <v>149891</v>
      </c>
      <c r="C365" s="16" t="n">
        <v>0</v>
      </c>
      <c r="D365" s="16" t="n">
        <v>6</v>
      </c>
      <c r="E365" s="10" t="inlineStr">
        <is>
          <t>0.75</t>
        </is>
      </c>
      <c r="F365" s="34" t="n">
        <v>17.1</v>
      </c>
      <c r="G365" s="18" t="n">
        <v>109960</v>
      </c>
      <c r="H365" s="12" t="n">
        <v>39931</v>
      </c>
      <c r="I365" s="6" t="n"/>
      <c r="J365" s="6">
        <f>IF((B365*0.935 - F365*500) / (1.025*(1+$P$2/100)) &lt;= F365*500/0.15,ROUND(MAX(0, (B365*0.935 - F365*500) / (1.025*(1+$P$2/100))),0),ROUND(MAX(0, B365*0.935 / (1.175*(1+$P$2/100))),0))</f>
        <v/>
      </c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</row>
    <row r="366" ht="12.75" customHeight="1" s="46">
      <c r="A366" s="17" t="inlineStr">
        <is>
          <t>древесный посох (старейшина)</t>
        </is>
      </c>
      <c r="B366" s="56" t="n">
        <v>535530</v>
      </c>
      <c r="C366" s="16" t="n">
        <v>0</v>
      </c>
      <c r="D366" s="16" t="n">
        <v>3</v>
      </c>
      <c r="E366" s="10" t="inlineStr">
        <is>
          <t>0.75</t>
        </is>
      </c>
      <c r="F366" s="34" t="n">
        <v>25.6</v>
      </c>
      <c r="G366" s="18" t="n">
        <v>484998</v>
      </c>
      <c r="H366" s="12" t="n">
        <v>50532</v>
      </c>
      <c r="I366" s="6" t="n"/>
      <c r="J366" s="6">
        <f>IF((B366*0.935 - F366*500) / (1.025*(1+$P$2/100)) &lt;= F366*500/0.15,ROUND(MAX(0, (B366*0.935 - F366*500) / (1.025*(1+$P$2/100))),0),ROUND(MAX(0, B366*0.935 / (1.175*(1+$P$2/100))),0))</f>
        <v/>
      </c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</row>
    <row r="367" ht="12.75" customHeight="1" s="46">
      <c r="A367" s="35" t="inlineStr">
        <is>
          <t>большой древесный посох (знаток)</t>
        </is>
      </c>
      <c r="B367" s="57" t="n">
        <v>8899</v>
      </c>
      <c r="C367" s="9" t="n">
        <v>0</v>
      </c>
      <c r="D367" s="9" t="n">
        <v>100</v>
      </c>
      <c r="E367" s="10" t="inlineStr">
        <is>
          <t>0.55</t>
        </is>
      </c>
      <c r="F367" s="12" t="n">
        <v>6.8</v>
      </c>
      <c r="G367" s="18" t="n">
        <v>5500</v>
      </c>
      <c r="H367" s="12" t="n">
        <v>3399</v>
      </c>
      <c r="I367" s="6" t="n"/>
      <c r="J367" s="6">
        <f>IF((B367*0.935 - F367*500) / (1.025*(1+$P$2/100)) &lt;= F367*500/0.15,ROUND(MAX(0, (B367*0.935 - F367*500) / (1.025*(1+$P$2/100))),0),ROUND(MAX(0, B367*0.935 / (1.175*(1+$P$2/100))),0))</f>
        <v/>
      </c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</row>
    <row r="368" ht="12.75" customHeight="1" s="46">
      <c r="A368" s="13" t="inlineStr">
        <is>
          <t>большой древесный посох (эксперт)</t>
        </is>
      </c>
      <c r="B368" s="57" t="n">
        <v>31763</v>
      </c>
      <c r="C368" s="9" t="n">
        <v>0</v>
      </c>
      <c r="D368" s="9" t="n">
        <v>70</v>
      </c>
      <c r="E368" s="10" t="inlineStr">
        <is>
          <t>0.70</t>
        </is>
      </c>
      <c r="F368" s="12" t="n">
        <v>10.1</v>
      </c>
      <c r="G368" s="18" t="n">
        <v>16996</v>
      </c>
      <c r="H368" s="12" t="n">
        <v>14767</v>
      </c>
      <c r="I368" s="6" t="n"/>
      <c r="J368" s="6">
        <f>IF((B368*0.935 - F368*500) / (1.025*(1+$P$2/100)) &lt;= F368*500/0.15,ROUND(MAX(0, (B368*0.935 - F368*500) / (1.025*(1+$P$2/100))),0),ROUND(MAX(0, B368*0.935 / (1.175*(1+$P$2/100))),0))</f>
        <v/>
      </c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</row>
    <row r="369" ht="12.75" customHeight="1" s="46">
      <c r="A369" s="14" t="inlineStr">
        <is>
          <t>большой древесный посох (мастер)</t>
        </is>
      </c>
      <c r="B369" s="57" t="n">
        <v>70928</v>
      </c>
      <c r="C369" s="9" t="n">
        <v>0</v>
      </c>
      <c r="D369" s="9" t="n">
        <v>35</v>
      </c>
      <c r="E369" s="10" t="inlineStr">
        <is>
          <t>0.80</t>
        </is>
      </c>
      <c r="F369" s="12" t="n">
        <v>15.2</v>
      </c>
      <c r="G369" s="18" t="n">
        <v>50000</v>
      </c>
      <c r="H369" s="12" t="n">
        <v>20928</v>
      </c>
      <c r="I369" s="6" t="n"/>
      <c r="J369" s="6">
        <f>IF((B369*0.935 - F369*500) / (1.025*(1+$P$2/100)) &lt;= F369*500/0.15,ROUND(MAX(0, (B369*0.935 - F369*500) / (1.025*(1+$P$2/100))),0),ROUND(MAX(0, B369*0.935 / (1.175*(1+$P$2/100))),0))</f>
        <v/>
      </c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</row>
    <row r="370" ht="12.75" customHeight="1" s="46">
      <c r="A370" s="15" t="inlineStr">
        <is>
          <t>большой древесный посох (магистр)</t>
        </is>
      </c>
      <c r="B370" s="57" t="n">
        <v>239631</v>
      </c>
      <c r="C370" s="16" t="n">
        <v>0</v>
      </c>
      <c r="D370" s="16" t="n">
        <v>6</v>
      </c>
      <c r="E370" s="10" t="inlineStr">
        <is>
          <t>0.75</t>
        </is>
      </c>
      <c r="F370" s="12" t="n">
        <v>22.8</v>
      </c>
      <c r="G370" s="18" t="n">
        <v>189999</v>
      </c>
      <c r="H370" s="12" t="n">
        <v>49632</v>
      </c>
      <c r="I370" s="6" t="n"/>
      <c r="J370" s="6">
        <f>IF((B370*0.935 - F370*500) / (1.025*(1+$P$2/100)) &lt;= F370*500/0.15,ROUND(MAX(0, (B370*0.935 - F370*500) / (1.025*(1+$P$2/100))),0),ROUND(MAX(0, B370*0.935 / (1.175*(1+$P$2/100))),0))</f>
        <v/>
      </c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</row>
    <row r="371" ht="12.75" customHeight="1" s="46">
      <c r="A371" s="17" t="inlineStr">
        <is>
          <t>большой древесный посох (старейшина)</t>
        </is>
      </c>
      <c r="B371" s="57" t="n">
        <v>877758</v>
      </c>
      <c r="C371" s="16" t="n">
        <v>0</v>
      </c>
      <c r="D371" s="16" t="n">
        <v>3</v>
      </c>
      <c r="E371" s="10" t="inlineStr">
        <is>
          <t>0.75</t>
        </is>
      </c>
      <c r="F371" s="12" t="n">
        <v>34.2</v>
      </c>
      <c r="G371" s="18" t="n">
        <v>748988</v>
      </c>
      <c r="H371" s="12" t="n">
        <v>128770</v>
      </c>
      <c r="I371" s="6" t="n"/>
      <c r="J371" s="6">
        <f>IF((B371*0.935 - F371*500) / (1.025*(1+$P$2/100)) &lt;= F371*500/0.15,ROUND(MAX(0, (B371*0.935 - F371*500) / (1.025*(1+$P$2/100))),0),ROUND(MAX(0, B371*0.935 / (1.175*(1+$P$2/100))),0))</f>
        <v/>
      </c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</row>
    <row r="372" ht="12.75" customHeight="1" s="46">
      <c r="A372" s="35" t="inlineStr">
        <is>
          <t>дикий посох (знаток)</t>
        </is>
      </c>
      <c r="B372" s="60" t="n">
        <v>9996</v>
      </c>
      <c r="C372" s="9" t="n">
        <v>0</v>
      </c>
      <c r="D372" s="9" t="n">
        <v>100</v>
      </c>
      <c r="E372" s="10" t="inlineStr">
        <is>
          <t>0.55</t>
        </is>
      </c>
      <c r="F372" s="12" t="n">
        <v>6.8</v>
      </c>
      <c r="G372" s="18" t="n">
        <v>3999</v>
      </c>
      <c r="H372" s="12" t="n">
        <v>5997</v>
      </c>
      <c r="I372" s="6" t="n"/>
      <c r="J372" s="6">
        <f>IF((B372*0.935 - F372*500) / (1.025*(1+$P$2/100)) &lt;= F372*500/0.15,ROUND(MAX(0, (B372*0.935 - F372*500) / (1.025*(1+$P$2/100))),0),ROUND(MAX(0, B372*0.935 / (1.175*(1+$P$2/100))),0))</f>
        <v/>
      </c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</row>
    <row r="373" ht="12.75" customHeight="1" s="46">
      <c r="A373" s="13" t="inlineStr">
        <is>
          <t>дикий посох (эксперт)</t>
        </is>
      </c>
      <c r="B373" s="60" t="n">
        <v>27280</v>
      </c>
      <c r="C373" s="9" t="n">
        <v>0</v>
      </c>
      <c r="D373" s="9" t="n">
        <v>70</v>
      </c>
      <c r="E373" s="10" t="inlineStr">
        <is>
          <t>0.70</t>
        </is>
      </c>
      <c r="F373" s="12" t="n">
        <v>10.1</v>
      </c>
      <c r="G373" s="18" t="n">
        <v>23988</v>
      </c>
      <c r="H373" s="12" t="n">
        <v>3292</v>
      </c>
      <c r="I373" s="6" t="n"/>
      <c r="J373" s="6">
        <f>IF((B373*0.935 - F373*500) / (1.025*(1+$P$2/100)) &lt;= F373*500/0.15,ROUND(MAX(0, (B373*0.935 - F373*500) / (1.025*(1+$P$2/100))),0),ROUND(MAX(0, B373*0.935 / (1.175*(1+$P$2/100))),0))</f>
        <v/>
      </c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</row>
    <row r="374" ht="12.75" customHeight="1" s="46">
      <c r="A374" s="14" t="inlineStr">
        <is>
          <t>дикий посох (мастер)</t>
        </is>
      </c>
      <c r="B374" s="60" t="n">
        <v>67980</v>
      </c>
      <c r="C374" s="9" t="n">
        <v>0</v>
      </c>
      <c r="D374" s="9" t="n">
        <v>35</v>
      </c>
      <c r="E374" s="10" t="inlineStr">
        <is>
          <t>0.80</t>
        </is>
      </c>
      <c r="F374" s="12" t="n">
        <v>15.2</v>
      </c>
      <c r="G374" s="18" t="n">
        <v>49893</v>
      </c>
      <c r="H374" s="12" t="n">
        <v>18087</v>
      </c>
      <c r="I374" s="6" t="n"/>
      <c r="J374" s="6">
        <f>IF((B374*0.935 - F374*500) / (1.025*(1+$P$2/100)) &lt;= F374*500/0.15,ROUND(MAX(0, (B374*0.935 - F374*500) / (1.025*(1+$P$2/100))),0),ROUND(MAX(0, B374*0.935 / (1.175*(1+$P$2/100))),0))</f>
        <v/>
      </c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</row>
    <row r="375" ht="12.75" customHeight="1" s="46">
      <c r="A375" s="15" t="inlineStr">
        <is>
          <t>дикий посох (магистр)</t>
        </is>
      </c>
      <c r="B375" s="60" t="n">
        <v>204987</v>
      </c>
      <c r="C375" s="16" t="n">
        <v>0</v>
      </c>
      <c r="D375" s="16" t="n">
        <v>6</v>
      </c>
      <c r="E375" s="10" t="inlineStr">
        <is>
          <t>0.75</t>
        </is>
      </c>
      <c r="F375" s="12" t="n">
        <v>22.8</v>
      </c>
      <c r="G375" s="18" t="n">
        <v>144999</v>
      </c>
      <c r="H375" s="12" t="n">
        <v>59988</v>
      </c>
      <c r="I375" s="6" t="n"/>
      <c r="J375" s="6">
        <f>IF((B375*0.935 - F375*500) / (1.025*(1+$P$2/100)) &lt;= F375*500/0.15,ROUND(MAX(0, (B375*0.935 - F375*500) / (1.025*(1+$P$2/100))),0),ROUND(MAX(0, B375*0.935 / (1.175*(1+$P$2/100))),0))</f>
        <v/>
      </c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</row>
    <row r="376" ht="13.5" customHeight="1" s="46">
      <c r="A376" s="17" t="inlineStr">
        <is>
          <t>дикий посох (старейшина)</t>
        </is>
      </c>
      <c r="B376" s="60" t="n">
        <v>767768</v>
      </c>
      <c r="C376" s="16" t="n">
        <v>0</v>
      </c>
      <c r="D376" s="16" t="n">
        <v>3</v>
      </c>
      <c r="E376" s="10" t="inlineStr">
        <is>
          <t>0.75</t>
        </is>
      </c>
      <c r="F376" s="12" t="n">
        <v>34.2</v>
      </c>
      <c r="G376" s="18" t="n">
        <v>579998</v>
      </c>
      <c r="H376" s="12" t="n">
        <v>187770</v>
      </c>
      <c r="I376" s="6" t="n"/>
      <c r="J376" s="6">
        <f>IF((B376*0.935 - F376*500) / (1.025*(1+$P$2/100)) &lt;= F376*500/0.15,ROUND(MAX(0, (B376*0.935 - F376*500) / (1.025*(1+$P$2/100))),0),ROUND(MAX(0, B376*0.935 / (1.175*(1+$P$2/100))),0))</f>
        <v/>
      </c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</row>
    <row r="377" ht="13.5" customHeight="1" s="46">
      <c r="A377" s="36" t="inlineStr">
        <is>
          <t>авалонский плащ (знаток)</t>
        </is>
      </c>
      <c r="B377" s="61" t="n">
        <v>75978</v>
      </c>
      <c r="C377" s="16" t="n">
        <v>0</v>
      </c>
      <c r="D377" s="16" t="n">
        <v>5</v>
      </c>
      <c r="E377" s="37" t="inlineStr">
        <is>
          <t>0.80</t>
        </is>
      </c>
      <c r="F377" s="12" t="n">
        <v>1.7</v>
      </c>
      <c r="G377" s="18" t="n">
        <v>79984</v>
      </c>
      <c r="H377" s="12" t="n">
        <v>-4006</v>
      </c>
      <c r="I377" s="6" t="n"/>
      <c r="J377" s="6">
        <f>IF((B377*0.935 - F377*500) / (1.025*(1+$P$2/100)) &lt;= F377*500/0.15,ROUND(MAX(0, (B377*0.935 - F377*500) / (1.025*(1+$P$2/100))),0),ROUND(MAX(0, B377*0.935 / (1.175*(1+$P$2/100))),0))</f>
        <v/>
      </c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</row>
    <row r="378" ht="13.5" customHeight="1" s="46">
      <c r="A378" s="38" t="inlineStr">
        <is>
          <t>авалонский плащ (эксперт)</t>
        </is>
      </c>
      <c r="B378" s="61" t="n">
        <v>131294</v>
      </c>
      <c r="C378" s="16" t="n">
        <v>0</v>
      </c>
      <c r="D378" s="16" t="n">
        <v>5</v>
      </c>
      <c r="E378" s="37" t="inlineStr">
        <is>
          <t>0.80</t>
        </is>
      </c>
      <c r="F378" s="12" t="n">
        <v>2.5</v>
      </c>
      <c r="G378" s="18" t="n">
        <v>99998</v>
      </c>
      <c r="H378" s="12" t="n">
        <v>31296</v>
      </c>
      <c r="I378" s="6" t="n"/>
      <c r="J378" s="6">
        <f>IF((B378*0.935 - F378*500) / (1.025*(1+$P$2/100)) &lt;= F378*500/0.15,ROUND(MAX(0, (B378*0.935 - F378*500) / (1.025*(1+$P$2/100))),0),ROUND(MAX(0, B378*0.935 / (1.175*(1+$P$2/100))),0))</f>
        <v/>
      </c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</row>
    <row r="379" ht="13.5" customHeight="1" s="46">
      <c r="A379" s="39" t="inlineStr">
        <is>
          <t>авалонский плащ (мастер)</t>
        </is>
      </c>
      <c r="B379" s="61" t="n">
        <v>215943</v>
      </c>
      <c r="C379" s="16" t="n">
        <v>0</v>
      </c>
      <c r="D379" s="16" t="n">
        <v>5</v>
      </c>
      <c r="E379" s="37" t="inlineStr">
        <is>
          <t>0.80</t>
        </is>
      </c>
      <c r="F379" s="12" t="n">
        <v>3.8</v>
      </c>
      <c r="G379" s="18" t="n">
        <v>224990</v>
      </c>
      <c r="H379" s="12" t="n">
        <v>-9047</v>
      </c>
      <c r="I379" s="6" t="n"/>
      <c r="J379" s="6">
        <f>IF((B379*0.935 - F379*500) / (1.025*(1+$P$2/100)) &lt;= F379*500/0.15,ROUND(MAX(0, (B379*0.935 - F379*500) / (1.025*(1+$P$2/100))),0),ROUND(MAX(0, B379*0.935 / (1.175*(1+$P$2/100))),0))</f>
        <v/>
      </c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</row>
    <row r="380" ht="13.5" customHeight="1" s="46">
      <c r="A380" s="40" t="inlineStr">
        <is>
          <t>авалонский плащ (магистр)</t>
        </is>
      </c>
      <c r="B380" s="61" t="n">
        <v>412309</v>
      </c>
      <c r="C380" s="16" t="n">
        <v>0</v>
      </c>
      <c r="D380" s="16" t="n">
        <v>5</v>
      </c>
      <c r="E380" s="37" t="inlineStr">
        <is>
          <t>0.80</t>
        </is>
      </c>
      <c r="F380" s="12" t="n">
        <v>5.7</v>
      </c>
      <c r="G380" s="18" t="n">
        <v>440964</v>
      </c>
      <c r="H380" s="12" t="n">
        <v>-28655</v>
      </c>
      <c r="I380" s="6" t="n"/>
      <c r="J380" s="6">
        <f>IF((B380*0.935 - F380*500) / (1.025*(1+$P$2/100)) &lt;= F380*500/0.15,ROUND(MAX(0, (B380*0.935 - F380*500) / (1.025*(1+$P$2/100))),0),ROUND(MAX(0, B380*0.935 / (1.175*(1+$P$2/100))),0))</f>
        <v/>
      </c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</row>
    <row r="381" ht="13.5" customHeight="1" s="46">
      <c r="A381" s="41" t="inlineStr">
        <is>
          <t>авалонский плащ (старейшина)</t>
        </is>
      </c>
      <c r="B381" s="61" t="n">
        <v>960986</v>
      </c>
      <c r="C381" s="16" t="n">
        <v>0</v>
      </c>
      <c r="D381" s="16" t="n">
        <v>5</v>
      </c>
      <c r="E381" s="37" t="inlineStr">
        <is>
          <t>0.80</t>
        </is>
      </c>
      <c r="F381" s="12" t="n">
        <v>8.5</v>
      </c>
      <c r="G381" s="18" t="n">
        <v>869997</v>
      </c>
      <c r="H381" s="12" t="n">
        <v>90989</v>
      </c>
      <c r="I381" s="6" t="n"/>
      <c r="J381" s="6">
        <f>IF((B381*0.935 - F381*500) / (1.025*(1+$P$2/100)) &lt;= F381*500/0.15,ROUND(MAX(0, (B381*0.935 - F381*500) / (1.025*(1+$P$2/100))),0),ROUND(MAX(0, B381*0.935 / (1.175*(1+$P$2/100))),0))</f>
        <v/>
      </c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</row>
    <row r="382" ht="13.5" customHeight="1" s="46">
      <c r="A382" s="36" t="inlineStr">
        <is>
          <t>плащ морганы (знаток)</t>
        </is>
      </c>
      <c r="B382" s="55" t="n">
        <v>180111</v>
      </c>
      <c r="C382" s="16" t="n">
        <v>0</v>
      </c>
      <c r="D382" s="16" t="n">
        <v>5</v>
      </c>
      <c r="E382" s="37" t="inlineStr">
        <is>
          <t>0.80</t>
        </is>
      </c>
      <c r="F382" s="12" t="n">
        <v>1.7</v>
      </c>
      <c r="G382" s="18" t="n">
        <v>234985</v>
      </c>
      <c r="H382" s="12" t="n">
        <v>-54874</v>
      </c>
      <c r="I382" s="6" t="n"/>
      <c r="J382" s="6">
        <f>IF((B382*0.935 - F382*500) / (1.025*(1+$P$2/100)) &lt;= F382*500/0.15,ROUND(MAX(0, (B382*0.935 - F382*500) / (1.025*(1+$P$2/100))),0),ROUND(MAX(0, B382*0.935 / (1.175*(1+$P$2/100))),0))</f>
        <v/>
      </c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</row>
    <row r="383" ht="13.5" customHeight="1" s="46">
      <c r="A383" s="38" t="inlineStr">
        <is>
          <t>плащ морганы (эксперт)</t>
        </is>
      </c>
      <c r="B383" s="55" t="n">
        <v>222199</v>
      </c>
      <c r="C383" s="16" t="n">
        <v>0</v>
      </c>
      <c r="D383" s="10" t="n">
        <v>5</v>
      </c>
      <c r="E383" s="37" t="inlineStr">
        <is>
          <t>0.80</t>
        </is>
      </c>
      <c r="F383" s="12" t="n">
        <v>2.5</v>
      </c>
      <c r="G383" s="18" t="n">
        <v>229948</v>
      </c>
      <c r="H383" s="12" t="n">
        <v>-7749</v>
      </c>
      <c r="I383" s="6" t="n"/>
      <c r="J383" s="6">
        <f>IF((B383*0.935 - F383*500) / (1.025*(1+$P$2/100)) &lt;= F383*500/0.15,ROUND(MAX(0, (B383*0.935 - F383*500) / (1.025*(1+$P$2/100))),0),ROUND(MAX(0, B383*0.935 / (1.175*(1+$P$2/100))),0))</f>
        <v/>
      </c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</row>
    <row r="384" ht="13.5" customHeight="1" s="46">
      <c r="A384" s="39" t="inlineStr">
        <is>
          <t>плащ морганы (мастер)</t>
        </is>
      </c>
      <c r="B384" s="55" t="n">
        <v>260891</v>
      </c>
      <c r="C384" s="16" t="n">
        <v>0</v>
      </c>
      <c r="D384" s="16" t="n">
        <v>5</v>
      </c>
      <c r="E384" s="37" t="inlineStr">
        <is>
          <t>0.80</t>
        </is>
      </c>
      <c r="F384" s="12" t="n">
        <v>3.8</v>
      </c>
      <c r="G384" s="18" t="n">
        <v>229998</v>
      </c>
      <c r="H384" s="12" t="n">
        <v>30893</v>
      </c>
      <c r="I384" s="6" t="n"/>
      <c r="J384" s="6">
        <f>IF((B384*0.935 - F384*500) / (1.025*(1+$P$2/100)) &lt;= F384*500/0.15,ROUND(MAX(0, (B384*0.935 - F384*500) / (1.025*(1+$P$2/100))),0),ROUND(MAX(0, B384*0.935 / (1.175*(1+$P$2/100))),0))</f>
        <v/>
      </c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</row>
    <row r="385" ht="13.5" customHeight="1" s="46">
      <c r="A385" s="40" t="inlineStr">
        <is>
          <t>плащ морганы (магистр)</t>
        </is>
      </c>
      <c r="B385" s="55" t="n">
        <v>765539</v>
      </c>
      <c r="C385" s="42" t="n">
        <v>0</v>
      </c>
      <c r="D385" s="16" t="n">
        <v>5</v>
      </c>
      <c r="E385" s="37" t="inlineStr">
        <is>
          <t>0.80</t>
        </is>
      </c>
      <c r="F385" s="12" t="n">
        <v>5.7</v>
      </c>
      <c r="G385" s="18" t="n">
        <v>730000</v>
      </c>
      <c r="H385" s="12" t="n">
        <v>35539</v>
      </c>
      <c r="I385" s="6" t="n"/>
      <c r="J385" s="6">
        <f>IF((B385*0.935 - F385*500) / (1.025*(1+$P$2/100)) &lt;= F385*500/0.15,ROUND(MAX(0, (B385*0.935 - F385*500) / (1.025*(1+$P$2/100))),0),ROUND(MAX(0, B385*0.935 / (1.175*(1+$P$2/100))),0))</f>
        <v/>
      </c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</row>
    <row r="386" ht="13.5" customHeight="1" s="46">
      <c r="A386" s="41" t="inlineStr">
        <is>
          <t>плащ морганы (старейшина)</t>
        </is>
      </c>
      <c r="B386" s="55" t="n">
        <v>1177824</v>
      </c>
      <c r="C386" s="42" t="n">
        <v>0</v>
      </c>
      <c r="D386" s="16" t="n">
        <v>5</v>
      </c>
      <c r="E386" s="37" t="inlineStr">
        <is>
          <t>0.80</t>
        </is>
      </c>
      <c r="F386" s="12" t="n">
        <v>8.5</v>
      </c>
      <c r="G386" s="18" t="n">
        <v>0</v>
      </c>
      <c r="H386" s="12" t="n">
        <v>1177824</v>
      </c>
      <c r="I386" s="6" t="n"/>
      <c r="J386" s="6">
        <f>IF((B386*0.935 - F386*500) / (1.025*(1+$P$2/100)) &lt;= F386*500/0.15,ROUND(MAX(0, (B386*0.935 - F386*500) / (1.025*(1+$P$2/100))),0),ROUND(MAX(0, B386*0.935 / (1.175*(1+$P$2/100))),0))</f>
        <v/>
      </c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</row>
    <row r="387" ht="13.5" customHeight="1" s="46">
      <c r="A387" s="36" t="inlineStr">
        <is>
          <t>плащ контрабандиста (знаток)</t>
        </is>
      </c>
      <c r="B387" s="62" t="n">
        <v>91386</v>
      </c>
      <c r="C387" s="42" t="n">
        <v>0</v>
      </c>
      <c r="D387" s="16" t="n">
        <v>5</v>
      </c>
      <c r="E387" s="37" t="inlineStr">
        <is>
          <t>0.80</t>
        </is>
      </c>
      <c r="F387" s="12" t="n">
        <v>1.7</v>
      </c>
      <c r="G387" s="6" t="n"/>
      <c r="H387" s="12">
        <f>IF(((B387*0.935 - F387*500) / 1.025) &lt;= (F387*500 / 0.15),IF((B387*0.935 - F387*500) / 1.025 &lt; 0, 0, ROUND((B387*0.935 - F387*500) / 1.025, 0)),IF(B387*0.935 / 1.175 &lt; 0, 0, ROUND(B387*0.935 / 1.175, 0)))</f>
        <v/>
      </c>
      <c r="I387" s="6" t="n"/>
      <c r="J387" s="6">
        <f>IF((B387*0.935 - F387*500) / (1.025*(1+$P$2/100)) &lt;= F387*500/0.15,ROUND(MAX(0, (B387*0.935 - F387*500) / (1.025*(1+$P$2/100))),0),ROUND(MAX(0, B387*0.935 / (1.175*(1+$P$2/100))),0))</f>
        <v/>
      </c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</row>
    <row r="388" ht="13.5" customHeight="1" s="46">
      <c r="A388" s="38" t="inlineStr">
        <is>
          <t>плащ контрабандиста (эксперт)</t>
        </is>
      </c>
      <c r="B388" s="62" t="n">
        <v>154996</v>
      </c>
      <c r="C388" s="16" t="n">
        <v>0</v>
      </c>
      <c r="D388" s="16" t="n">
        <v>5</v>
      </c>
      <c r="E388" s="37" t="inlineStr">
        <is>
          <t>0.80</t>
        </is>
      </c>
      <c r="F388" s="12" t="n">
        <v>2.5</v>
      </c>
      <c r="G388" s="6" t="n"/>
      <c r="H388" s="12">
        <f>IF(((B388*0.935 - F388*500) / 1.025) &lt;= (F388*500 / 0.15),IF((B388*0.935 - F388*500) / 1.025 &lt; 0, 0, ROUND((B388*0.935 - F388*500) / 1.025, 0)),IF(B388*0.935 / 1.175 &lt; 0, 0, ROUND(B388*0.935 / 1.175, 0)))</f>
        <v/>
      </c>
      <c r="I388" s="6" t="n"/>
      <c r="J388" s="6">
        <f>IF((B388*0.935 - F388*500) / (1.025*(1+$P$2/100)) &lt;= F388*500/0.15,ROUND(MAX(0, (B388*0.935 - F388*500) / (1.025*(1+$P$2/100))),0),ROUND(MAX(0, B388*0.935 / (1.175*(1+$P$2/100))),0))</f>
        <v/>
      </c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</row>
    <row r="389" ht="13.5" customHeight="1" s="46">
      <c r="A389" s="39" t="inlineStr">
        <is>
          <t>плащ контрабандиста (мастер)</t>
        </is>
      </c>
      <c r="B389" s="62" t="n">
        <v>350953</v>
      </c>
      <c r="C389" s="16" t="n">
        <v>0</v>
      </c>
      <c r="D389" s="16" t="n">
        <v>5</v>
      </c>
      <c r="E389" s="37" t="inlineStr">
        <is>
          <t>0.80</t>
        </is>
      </c>
      <c r="F389" s="12" t="n">
        <v>3.8</v>
      </c>
      <c r="G389" s="6" t="n"/>
      <c r="H389" s="12">
        <f>IF(((B389*0.935 - F389*500) / 1.025) &lt;= (F389*500 / 0.15),IF((B389*0.935 - F389*500) / 1.025 &lt; 0, 0, ROUND((B389*0.935 - F389*500) / 1.025, 0)),IF(B389*0.935 / 1.175 &lt; 0, 0, ROUND(B389*0.935 / 1.175, 0)))</f>
        <v/>
      </c>
      <c r="I389" s="6" t="n"/>
      <c r="J389" s="6">
        <f>IF((B389*0.935 - F389*500) / (1.025*(1+$P$2/100)) &lt;= F389*500/0.15,ROUND(MAX(0, (B389*0.935 - F389*500) / (1.025*(1+$P$2/100))),0),ROUND(MAX(0, B389*0.935 / (1.175*(1+$P$2/100))),0))</f>
        <v/>
      </c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</row>
    <row r="390" ht="13.5" customHeight="1" s="46">
      <c r="A390" s="40" t="inlineStr">
        <is>
          <t>плащ контрабандиста (магистр)</t>
        </is>
      </c>
      <c r="B390" s="62" t="n">
        <v>724993</v>
      </c>
      <c r="C390" s="16" t="n">
        <v>0</v>
      </c>
      <c r="D390" s="16" t="n">
        <v>5</v>
      </c>
      <c r="E390" s="37" t="inlineStr">
        <is>
          <t>0.80</t>
        </is>
      </c>
      <c r="F390" s="12" t="n">
        <v>5.7</v>
      </c>
      <c r="G390" s="6" t="n"/>
      <c r="H390" s="12">
        <f>IF(((B390*0.935 - F390*500) / 1.025) &lt;= (F390*500 / 0.15),IF((B390*0.935 - F390*500) / 1.025 &lt; 0, 0, ROUND((B390*0.935 - F390*500) / 1.025, 0)),IF(B390*0.935 / 1.175 &lt; 0, 0, ROUND(B390*0.935 / 1.175, 0)))</f>
        <v/>
      </c>
      <c r="I390" s="6" t="n"/>
      <c r="J390" s="6">
        <f>IF((B390*0.935 - F390*500) / (1.025*(1+$P$2/100)) &lt;= F390*500/0.15,ROUND(MAX(0, (B390*0.935 - F390*500) / (1.025*(1+$P$2/100))),0),ROUND(MAX(0, B390*0.935 / (1.175*(1+$P$2/100))),0))</f>
        <v/>
      </c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</row>
    <row r="391" ht="13.5" customHeight="1" s="46">
      <c r="A391" s="41" t="inlineStr">
        <is>
          <t>плащ контрабандиста (старейшина)</t>
        </is>
      </c>
      <c r="B391" s="62" t="n">
        <v>158997</v>
      </c>
      <c r="C391" s="16" t="n">
        <v>0</v>
      </c>
      <c r="D391" s="16" t="n">
        <v>5</v>
      </c>
      <c r="E391" s="37" t="inlineStr">
        <is>
          <t>0.80</t>
        </is>
      </c>
      <c r="F391" s="12" t="n">
        <v>8.5</v>
      </c>
      <c r="G391" s="6" t="n"/>
      <c r="H391" s="12">
        <f>IF(((B391*0.935 - F391*500) / 1.025) &lt;= (F391*500 / 0.15),IF((B391*0.935 - F391*500) / 1.025 &lt; 0, 0, ROUND((B391*0.935 - F391*500) / 1.025, 0)),IF(B391*0.935 / 1.175 &lt; 0, 0, ROUND(B391*0.935 / 1.175, 0)))</f>
        <v/>
      </c>
      <c r="I391" s="6" t="n"/>
      <c r="J391" s="6">
        <f>IF((B391*0.935 - F391*500) / (1.025*(1+$P$2/100)) &lt;= F391*500/0.15,ROUND(MAX(0, (B391*0.935 - F391*500) / (1.025*(1+$P$2/100))),0),ROUND(MAX(0, B391*0.935 / (1.175*(1+$P$2/100))),0))</f>
        <v/>
      </c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</row>
    <row r="392" ht="13.5" customHeight="1" s="46">
      <c r="A392" s="36" t="inlineStr">
        <is>
          <t>плащ хранителей (знаток)</t>
        </is>
      </c>
      <c r="B392" s="57" t="n">
        <v>69997</v>
      </c>
      <c r="C392" s="16" t="n">
        <v>0</v>
      </c>
      <c r="D392" s="16" t="n">
        <v>5</v>
      </c>
      <c r="E392" s="37" t="inlineStr">
        <is>
          <t>0.80</t>
        </is>
      </c>
      <c r="F392" s="12" t="n">
        <v>1.7</v>
      </c>
      <c r="G392" s="18" t="n">
        <v>94943</v>
      </c>
      <c r="H392" s="12" t="n">
        <v>-24946</v>
      </c>
      <c r="I392" s="6" t="n"/>
      <c r="J392" s="6">
        <f>IF((B392*0.935 - F392*500) / (1.025*(1+$P$2/100)) &lt;= F392*500/0.15,ROUND(MAX(0, (B392*0.935 - F392*500) / (1.025*(1+$P$2/100))),0),ROUND(MAX(0, B392*0.935 / (1.175*(1+$P$2/100))),0))</f>
        <v/>
      </c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</row>
    <row r="393" ht="15.75" customHeight="1" s="46">
      <c r="A393" s="38" t="inlineStr">
        <is>
          <t>плащ хранителей (эксперт)</t>
        </is>
      </c>
      <c r="B393" s="57" t="n">
        <v>96989</v>
      </c>
      <c r="C393" s="16" t="n">
        <v>0</v>
      </c>
      <c r="D393" s="16" t="n">
        <v>5</v>
      </c>
      <c r="E393" s="37" t="inlineStr">
        <is>
          <t>0.80</t>
        </is>
      </c>
      <c r="F393" s="12" t="n">
        <v>2.5</v>
      </c>
      <c r="G393" s="18" t="n">
        <v>94998</v>
      </c>
      <c r="H393" s="12" t="n">
        <v>1991</v>
      </c>
      <c r="I393" s="6" t="n"/>
      <c r="J393" s="6">
        <f>IF((B393*0.935 - F393*500) / (1.025*(1+$P$2/100)) &lt;= F393*500/0.15,ROUND(MAX(0, (B393*0.935 - F393*500) / (1.025*(1+$P$2/100))),0),ROUND(MAX(0, B393*0.935 / (1.175*(1+$P$2/100))),0))</f>
        <v/>
      </c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</row>
    <row r="394" ht="15.75" customHeight="1" s="46">
      <c r="A394" s="39" t="inlineStr">
        <is>
          <t>плащ хранителей (мастер)</t>
        </is>
      </c>
      <c r="B394" s="57" t="n">
        <v>240556</v>
      </c>
      <c r="C394" s="16" t="n">
        <v>0</v>
      </c>
      <c r="D394" s="16" t="n">
        <v>5</v>
      </c>
      <c r="E394" s="37" t="inlineStr">
        <is>
          <t>0.80</t>
        </is>
      </c>
      <c r="F394" s="12" t="n">
        <v>3.8</v>
      </c>
      <c r="G394" s="18" t="n">
        <v>228994</v>
      </c>
      <c r="H394" s="12" t="n">
        <v>11562</v>
      </c>
      <c r="I394" s="6" t="n"/>
      <c r="J394" s="6">
        <f>IF((B394*0.935 - F394*500) / (1.025*(1+$P$2/100)) &lt;= F394*500/0.15,ROUND(MAX(0, (B394*0.935 - F394*500) / (1.025*(1+$P$2/100))),0),ROUND(MAX(0, B394*0.935 / (1.175*(1+$P$2/100))),0))</f>
        <v/>
      </c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</row>
    <row r="395" ht="15.75" customHeight="1" s="46">
      <c r="A395" s="40" t="inlineStr">
        <is>
          <t>плащ хранителей (магистр)</t>
        </is>
      </c>
      <c r="B395" s="57" t="n">
        <v>539998</v>
      </c>
      <c r="C395" s="16" t="n">
        <v>0</v>
      </c>
      <c r="D395" s="16" t="n">
        <v>5</v>
      </c>
      <c r="E395" s="37" t="inlineStr">
        <is>
          <t>0.80</t>
        </is>
      </c>
      <c r="F395" s="12" t="n">
        <v>5.7</v>
      </c>
      <c r="G395" s="18" t="n">
        <v>491890</v>
      </c>
      <c r="H395" s="12" t="n">
        <v>48108</v>
      </c>
      <c r="I395" s="6" t="n"/>
      <c r="J395" s="6">
        <f>IF((B395*0.935 - F395*500) / (1.025*(1+$P$2/100)) &lt;= F395*500/0.15,ROUND(MAX(0, (B395*0.935 - F395*500) / (1.025*(1+$P$2/100))),0),ROUND(MAX(0, B395*0.935 / (1.175*(1+$P$2/100))),0))</f>
        <v/>
      </c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</row>
    <row r="396" ht="15.75" customHeight="1" s="46">
      <c r="A396" s="41" t="inlineStr">
        <is>
          <t>плащ хранителей (старейшина)</t>
        </is>
      </c>
      <c r="B396" s="57" t="n">
        <v>979998</v>
      </c>
      <c r="C396" s="42" t="n">
        <v>0</v>
      </c>
      <c r="D396" s="16" t="n">
        <v>5</v>
      </c>
      <c r="E396" s="37" t="inlineStr">
        <is>
          <t>0.80</t>
        </is>
      </c>
      <c r="F396" s="12" t="n">
        <v>8.5</v>
      </c>
      <c r="G396" s="18" t="n">
        <v>1099968</v>
      </c>
      <c r="H396" s="12" t="n">
        <v>-119970</v>
      </c>
      <c r="I396" s="6" t="n"/>
      <c r="J396" s="6">
        <f>IF((B396*0.935 - F396*500) / (1.025*(1+$P$2/100)) &lt;= F396*500/0.15,ROUND(MAX(0, (B396*0.935 - F396*500) / (1.025*(1+$P$2/100))),0),ROUND(MAX(0, B396*0.935 / (1.175*(1+$P$2/100))),0))</f>
        <v/>
      </c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</row>
    <row r="397" ht="15.75" customHeight="1" s="46">
      <c r="A397" s="36" t="inlineStr">
        <is>
          <t>плащ еретиков (знаток)</t>
        </is>
      </c>
      <c r="B397" s="61" t="n">
        <v>77977</v>
      </c>
      <c r="C397" s="42" t="n">
        <v>0</v>
      </c>
      <c r="D397" s="16" t="n">
        <v>5</v>
      </c>
      <c r="E397" s="37" t="inlineStr">
        <is>
          <t>0.80</t>
        </is>
      </c>
      <c r="F397" s="12" t="n">
        <v>1.7</v>
      </c>
      <c r="G397" s="18" t="n">
        <v>62996</v>
      </c>
      <c r="H397" s="12" t="n">
        <v>14981</v>
      </c>
      <c r="I397" s="6" t="n"/>
      <c r="J397" s="6">
        <f>IF((B397*0.935 - F397*500) / (1.025*(1+$P$2/100)) &lt;= F397*500/0.15,ROUND(MAX(0, (B397*0.935 - F397*500) / (1.025*(1+$P$2/100))),0),ROUND(MAX(0, B397*0.935 / (1.175*(1+$P$2/100))),0))</f>
        <v/>
      </c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</row>
    <row r="398" ht="15.75" customHeight="1" s="46">
      <c r="A398" s="38" t="inlineStr">
        <is>
          <t>плащ еретиков (эксперт)</t>
        </is>
      </c>
      <c r="B398" s="61" t="n">
        <v>77979</v>
      </c>
      <c r="C398" s="42" t="n">
        <v>0</v>
      </c>
      <c r="D398" s="16" t="n">
        <v>5</v>
      </c>
      <c r="E398" s="37" t="inlineStr">
        <is>
          <t>0.80</t>
        </is>
      </c>
      <c r="F398" s="12" t="n">
        <v>2.5</v>
      </c>
      <c r="G398" s="18" t="n">
        <v>59997</v>
      </c>
      <c r="H398" s="12" t="n">
        <v>17982</v>
      </c>
      <c r="I398" s="6" t="n"/>
      <c r="J398" s="6">
        <f>IF((B398*0.935 - F398*500) / (1.025*(1+$P$2/100)) &lt;= F398*500/0.15,ROUND(MAX(0, (B398*0.935 - F398*500) / (1.025*(1+$P$2/100))),0),ROUND(MAX(0, B398*0.935 / (1.175*(1+$P$2/100))),0))</f>
        <v/>
      </c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</row>
    <row r="399" ht="15.75" customHeight="1" s="46">
      <c r="A399" s="39" t="inlineStr">
        <is>
          <t>плащ еретиков (мастер)</t>
        </is>
      </c>
      <c r="B399" s="61" t="n">
        <v>257662</v>
      </c>
      <c r="C399" s="16" t="n">
        <v>0</v>
      </c>
      <c r="D399" s="16" t="n">
        <v>5</v>
      </c>
      <c r="E399" s="37" t="inlineStr">
        <is>
          <t>0.80</t>
        </is>
      </c>
      <c r="F399" s="12" t="n">
        <v>3.8</v>
      </c>
      <c r="G399" s="18" t="n">
        <v>222221</v>
      </c>
      <c r="H399" s="12" t="n">
        <v>35441</v>
      </c>
      <c r="I399" s="6" t="n"/>
      <c r="J399" s="6">
        <f>IF((B399*0.935 - F399*500) / (1.025*(1+$P$2/100)) &lt;= F399*500/0.15,ROUND(MAX(0, (B399*0.935 - F399*500) / (1.025*(1+$P$2/100))),0),ROUND(MAX(0, B399*0.935 / (1.175*(1+$P$2/100))),0))</f>
        <v/>
      </c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</row>
    <row r="400" ht="15.75" customHeight="1" s="46">
      <c r="A400" s="40" t="inlineStr">
        <is>
          <t>плащ еретиков (магистр)</t>
        </is>
      </c>
      <c r="B400" s="61" t="n">
        <v>669995</v>
      </c>
      <c r="C400" s="16" t="n">
        <v>0</v>
      </c>
      <c r="D400" s="16" t="n">
        <v>5</v>
      </c>
      <c r="E400" s="37" t="inlineStr">
        <is>
          <t>0.80</t>
        </is>
      </c>
      <c r="F400" s="12" t="n">
        <v>5.7</v>
      </c>
      <c r="G400" s="18" t="n">
        <v>649990</v>
      </c>
      <c r="H400" s="12" t="n">
        <v>20005</v>
      </c>
      <c r="I400" s="6" t="n"/>
      <c r="J400" s="6">
        <f>IF((B400*0.935 - F400*500) / (1.025*(1+$P$2/100)) &lt;= F400*500/0.15,ROUND(MAX(0, (B400*0.935 - F400*500) / (1.025*(1+$P$2/100))),0),ROUND(MAX(0, B400*0.935 / (1.175*(1+$P$2/100))),0))</f>
        <v/>
      </c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</row>
    <row r="401" ht="15.75" customHeight="1" s="46">
      <c r="A401" s="41" t="inlineStr">
        <is>
          <t>плащ еретиков (старейшина)</t>
        </is>
      </c>
      <c r="B401" s="61" t="n">
        <v>1074982</v>
      </c>
      <c r="C401" s="16" t="n">
        <v>0</v>
      </c>
      <c r="D401" s="16" t="n">
        <v>5</v>
      </c>
      <c r="E401" s="37" t="inlineStr">
        <is>
          <t>0.80</t>
        </is>
      </c>
      <c r="F401" s="12" t="n">
        <v>8.5</v>
      </c>
      <c r="G401" s="18" t="n">
        <v>1070937</v>
      </c>
      <c r="H401" s="12" t="n">
        <v>4045</v>
      </c>
      <c r="I401" s="6" t="n"/>
      <c r="J401" s="6">
        <f>IF((B401*0.935 - F401*500) / (1.025*(1+$P$2/100)) &lt;= F401*500/0.15,ROUND(MAX(0, (B401*0.935 - F401*500) / (1.025*(1+$P$2/100))),0),ROUND(MAX(0, B401*0.935 / (1.175*(1+$P$2/100))),0))</f>
        <v/>
      </c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</row>
    <row r="402" ht="15.75" customHeight="1" s="46">
      <c r="A402" s="36" t="inlineStr">
        <is>
          <t>плащ демонов (знаток)</t>
        </is>
      </c>
      <c r="B402" s="55" t="n">
        <v>98888</v>
      </c>
      <c r="C402" s="16" t="n">
        <v>0</v>
      </c>
      <c r="D402" s="16" t="n">
        <v>5</v>
      </c>
      <c r="E402" s="37" t="inlineStr">
        <is>
          <t>0.80</t>
        </is>
      </c>
      <c r="F402" s="12" t="n">
        <v>1.7</v>
      </c>
      <c r="G402" s="18" t="n">
        <v>106623</v>
      </c>
      <c r="H402" s="12" t="n">
        <v>-7735</v>
      </c>
      <c r="I402" s="6" t="n"/>
      <c r="J402" s="6">
        <f>IF((B402*0.935 - F402*500) / (1.025*(1+$P$2/100)) &lt;= F402*500/0.15,ROUND(MAX(0, (B402*0.935 - F402*500) / (1.025*(1+$P$2/100))),0),ROUND(MAX(0, B402*0.935 / (1.175*(1+$P$2/100))),0))</f>
        <v/>
      </c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</row>
    <row r="403" ht="15.75" customHeight="1" s="46">
      <c r="A403" s="38" t="inlineStr">
        <is>
          <t>плащ демонов (эксперт)</t>
        </is>
      </c>
      <c r="B403" s="55" t="n">
        <v>127982</v>
      </c>
      <c r="C403" s="16" t="n">
        <v>0</v>
      </c>
      <c r="D403" s="16" t="n">
        <v>5</v>
      </c>
      <c r="E403" s="37" t="inlineStr">
        <is>
          <t>0.80</t>
        </is>
      </c>
      <c r="F403" s="12" t="n">
        <v>2.5</v>
      </c>
      <c r="G403" s="18" t="n">
        <v>124915</v>
      </c>
      <c r="H403" s="12" t="n">
        <v>3067</v>
      </c>
      <c r="I403" s="6" t="n"/>
      <c r="J403" s="6">
        <f>IF((B403*0.935 - F403*500) / (1.025*(1+$P$2/100)) &lt;= F403*500/0.15,ROUND(MAX(0, (B403*0.935 - F403*500) / (1.025*(1+$P$2/100))),0),ROUND(MAX(0, B403*0.935 / (1.175*(1+$P$2/100))),0))</f>
        <v/>
      </c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</row>
    <row r="404" ht="15.75" customHeight="1" s="46">
      <c r="A404" s="39" t="inlineStr">
        <is>
          <t>плащ демонов (мастер)</t>
        </is>
      </c>
      <c r="B404" s="55" t="n">
        <v>264258</v>
      </c>
      <c r="C404" s="16" t="n">
        <v>0</v>
      </c>
      <c r="D404" s="16" t="n">
        <v>5</v>
      </c>
      <c r="E404" s="37" t="inlineStr">
        <is>
          <t>0.80</t>
        </is>
      </c>
      <c r="F404" s="12" t="n">
        <v>3.8</v>
      </c>
      <c r="G404" s="18" t="n">
        <v>249995</v>
      </c>
      <c r="H404" s="12" t="n">
        <v>14263</v>
      </c>
      <c r="I404" s="6" t="n"/>
      <c r="J404" s="6">
        <f>IF((B404*0.935 - F404*500) / (1.025*(1+$P$2/100)) &lt;= F404*500/0.15,ROUND(MAX(0, (B404*0.935 - F404*500) / (1.025*(1+$P$2/100))),0),ROUND(MAX(0, B404*0.935 / (1.175*(1+$P$2/100))),0))</f>
        <v/>
      </c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</row>
    <row r="405" ht="15.75" customHeight="1" s="46">
      <c r="A405" s="40" t="inlineStr">
        <is>
          <t>плащ демонов (магистр)</t>
        </is>
      </c>
      <c r="B405" s="55" t="n">
        <v>349998</v>
      </c>
      <c r="C405" s="16" t="n">
        <v>0</v>
      </c>
      <c r="D405" s="16" t="n">
        <v>5</v>
      </c>
      <c r="E405" s="37" t="inlineStr">
        <is>
          <t>0.80</t>
        </is>
      </c>
      <c r="F405" s="12" t="n">
        <v>5.7</v>
      </c>
      <c r="G405" s="18" t="n">
        <v>480789</v>
      </c>
      <c r="H405" s="12" t="n">
        <v>-130791</v>
      </c>
      <c r="I405" s="6" t="n"/>
      <c r="J405" s="6">
        <f>IF((B405*0.935 - F405*500) / (1.025*(1+$P$2/100)) &lt;= F405*500/0.15,ROUND(MAX(0, (B405*0.935 - F405*500) / (1.025*(1+$P$2/100))),0),ROUND(MAX(0, B405*0.935 / (1.175*(1+$P$2/100))),0))</f>
        <v/>
      </c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</row>
    <row r="406" ht="15.75" customHeight="1" s="46">
      <c r="A406" s="41" t="inlineStr">
        <is>
          <t>плащ демонов (старейшина)</t>
        </is>
      </c>
      <c r="B406" s="55" t="n">
        <v>799998</v>
      </c>
      <c r="C406" s="42" t="n">
        <v>0</v>
      </c>
      <c r="D406" s="16" t="n">
        <v>5</v>
      </c>
      <c r="E406" s="37" t="inlineStr">
        <is>
          <t>0.80</t>
        </is>
      </c>
      <c r="F406" s="12" t="n">
        <v>8.5</v>
      </c>
      <c r="G406" s="18" t="n">
        <v>920000</v>
      </c>
      <c r="H406" s="12" t="n">
        <v>-120002</v>
      </c>
      <c r="I406" s="6" t="n"/>
      <c r="J406" s="6">
        <f>IF((B406*0.935 - F406*500) / (1.025*(1+$P$2/100)) &lt;= F406*500/0.15,ROUND(MAX(0, (B406*0.935 - F406*500) / (1.025*(1+$P$2/100))),0),ROUND(MAX(0, B406*0.935 / (1.175*(1+$P$2/100))),0))</f>
        <v/>
      </c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</row>
    <row r="407" ht="15.75" customHeight="1" s="46">
      <c r="A407" s="36" t="inlineStr">
        <is>
          <t>плащ нежити (знаток)</t>
        </is>
      </c>
      <c r="B407" s="56" t="n">
        <v>159988</v>
      </c>
      <c r="C407" s="42" t="n">
        <v>0</v>
      </c>
      <c r="D407" s="16" t="n">
        <v>5</v>
      </c>
      <c r="E407" s="37" t="inlineStr">
        <is>
          <t>0.80</t>
        </is>
      </c>
      <c r="F407" s="12" t="n">
        <v>1.7</v>
      </c>
      <c r="G407" s="18" t="n">
        <v>214997</v>
      </c>
      <c r="H407" s="12" t="n">
        <v>-55009</v>
      </c>
      <c r="I407" s="6" t="n"/>
      <c r="J407" s="6">
        <f>IF((B407*0.935 - F407*500) / (1.025*(1+$P$2/100)) &lt;= F407*500/0.15,ROUND(MAX(0, (B407*0.935 - F407*500) / (1.025*(1+$P$2/100))),0),ROUND(MAX(0, B407*0.935 / (1.175*(1+$P$2/100))),0))</f>
        <v/>
      </c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</row>
    <row r="408" ht="15.75" customHeight="1" s="46">
      <c r="A408" s="38" t="inlineStr">
        <is>
          <t>плащ нежити (эксперт)</t>
        </is>
      </c>
      <c r="B408" s="56" t="n">
        <v>149999</v>
      </c>
      <c r="C408" s="42" t="n">
        <v>0</v>
      </c>
      <c r="D408" s="16" t="n">
        <v>5</v>
      </c>
      <c r="E408" s="37" t="inlineStr">
        <is>
          <t>0.80</t>
        </is>
      </c>
      <c r="F408" s="12" t="n">
        <v>2.5</v>
      </c>
      <c r="G408" s="18" t="n">
        <v>219974</v>
      </c>
      <c r="H408" s="12" t="n">
        <v>-69975</v>
      </c>
      <c r="I408" s="6" t="n"/>
      <c r="J408" s="6">
        <f>IF((B408*0.935 - F408*500) / (1.025*(1+$P$2/100)) &lt;= F408*500/0.15,ROUND(MAX(0, (B408*0.935 - F408*500) / (1.025*(1+$P$2/100))),0),ROUND(MAX(0, B408*0.935 / (1.175*(1+$P$2/100))),0))</f>
        <v/>
      </c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</row>
    <row r="409" ht="15.75" customHeight="1" s="46">
      <c r="A409" s="39" t="inlineStr">
        <is>
          <t>плащ нежити (мастер)</t>
        </is>
      </c>
      <c r="B409" s="56" t="n">
        <v>243863</v>
      </c>
      <c r="C409" s="16" t="n">
        <v>0</v>
      </c>
      <c r="D409" s="16" t="n">
        <v>5</v>
      </c>
      <c r="E409" s="37" t="inlineStr">
        <is>
          <t>0.80</t>
        </is>
      </c>
      <c r="F409" s="12" t="n">
        <v>3.8</v>
      </c>
      <c r="G409" s="18" t="n">
        <v>227968</v>
      </c>
      <c r="H409" s="12" t="n">
        <v>15895</v>
      </c>
      <c r="I409" s="6" t="n"/>
      <c r="J409" s="6">
        <f>IF((B409*0.935 - F409*500) / (1.025*(1+$P$2/100)) &lt;= F409*500/0.15,ROUND(MAX(0, (B409*0.935 - F409*500) / (1.025*(1+$P$2/100))),0),ROUND(MAX(0, B409*0.935 / (1.175*(1+$P$2/100))),0))</f>
        <v/>
      </c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</row>
    <row r="410" ht="15.75" customHeight="1" s="46">
      <c r="A410" s="40" t="inlineStr">
        <is>
          <t>плащ нежити (магистр)</t>
        </is>
      </c>
      <c r="B410" s="56" t="n">
        <v>687811</v>
      </c>
      <c r="C410" s="16" t="n">
        <v>0</v>
      </c>
      <c r="D410" s="16" t="n">
        <v>5</v>
      </c>
      <c r="E410" s="37" t="inlineStr">
        <is>
          <t>0.80</t>
        </is>
      </c>
      <c r="F410" s="12" t="n">
        <v>5.7</v>
      </c>
      <c r="G410" s="18" t="n">
        <v>670000</v>
      </c>
      <c r="H410" s="12" t="n">
        <v>17811</v>
      </c>
      <c r="I410" s="6" t="n"/>
      <c r="J410" s="6">
        <f>IF((B410*0.935 - F410*500) / (1.025*(1+$P$2/100)) &lt;= F410*500/0.15,ROUND(MAX(0, (B410*0.935 - F410*500) / (1.025*(1+$P$2/100))),0),ROUND(MAX(0, B410*0.935 / (1.175*(1+$P$2/100))),0))</f>
        <v/>
      </c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</row>
    <row r="411" ht="15.75" customHeight="1" s="46">
      <c r="A411" s="41" t="inlineStr">
        <is>
          <t>плащ нежити (старейшина)</t>
        </is>
      </c>
      <c r="B411" s="56" t="n">
        <v>1065767</v>
      </c>
      <c r="C411" s="16" t="n">
        <v>0</v>
      </c>
      <c r="D411" s="16" t="n">
        <v>5</v>
      </c>
      <c r="E411" s="37" t="inlineStr">
        <is>
          <t>0.80</t>
        </is>
      </c>
      <c r="F411" s="12" t="n">
        <v>8.5</v>
      </c>
      <c r="G411" s="18" t="n">
        <v>1139989</v>
      </c>
      <c r="H411" s="12" t="n">
        <v>-74222</v>
      </c>
      <c r="I411" s="6" t="n"/>
      <c r="J411" s="6">
        <f>IF((B411*0.935 - F411*500) / (1.025*(1+$P$2/100)) &lt;= F411*500/0.15,ROUND(MAX(0, (B411*0.935 - F411*500) / (1.025*(1+$P$2/100))),0),ROUND(MAX(0, B411*0.935 / (1.175*(1+$P$2/100))),0))</f>
        <v/>
      </c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</row>
    <row r="412" ht="15.75" customHeight="1" s="46">
      <c r="A412" s="36" t="inlineStr">
        <is>
          <t>плащ города brecilien (знаток)</t>
        </is>
      </c>
      <c r="B412" s="48" t="n">
        <v>99896</v>
      </c>
      <c r="C412" s="16" t="n">
        <v>0</v>
      </c>
      <c r="D412" s="16" t="n">
        <v>5</v>
      </c>
      <c r="E412" s="37" t="inlineStr">
        <is>
          <t>0.80</t>
        </is>
      </c>
      <c r="F412" s="12" t="n">
        <v>1.7</v>
      </c>
      <c r="G412" s="18" t="n">
        <v>116895</v>
      </c>
      <c r="H412" s="12" t="n">
        <v>-16999</v>
      </c>
      <c r="I412" s="6" t="n"/>
      <c r="J412" s="6">
        <f>IF((B412*0.935 - F412*500) / (1.025*(1+$P$2/100)) &lt;= F412*500/0.15,ROUND(MAX(0, (B412*0.935 - F412*500) / (1.025*(1+$P$2/100))),0),ROUND(MAX(0, B412*0.935 / (1.175*(1+$P$2/100))),0))</f>
        <v/>
      </c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</row>
    <row r="413" ht="15.75" customHeight="1" s="46">
      <c r="A413" s="38" t="inlineStr">
        <is>
          <t>плащ города brecilien (эксперт)</t>
        </is>
      </c>
      <c r="B413" s="48" t="n">
        <v>168986</v>
      </c>
      <c r="C413" s="16" t="n">
        <v>0</v>
      </c>
      <c r="D413" s="16" t="n">
        <v>5</v>
      </c>
      <c r="E413" s="37" t="inlineStr">
        <is>
          <t>0.80</t>
        </is>
      </c>
      <c r="F413" s="12" t="n">
        <v>2.5</v>
      </c>
      <c r="G413" s="18" t="n">
        <v>138998</v>
      </c>
      <c r="H413" s="12" t="n">
        <v>29988</v>
      </c>
      <c r="I413" s="6" t="n"/>
      <c r="J413" s="6">
        <f>IF((B413*0.935 - F413*500) / (1.025*(1+$P$2/100)) &lt;= F413*500/0.15,ROUND(MAX(0, (B413*0.935 - F413*500) / (1.025*(1+$P$2/100))),0),ROUND(MAX(0, B413*0.935 / (1.175*(1+$P$2/100))),0))</f>
        <v/>
      </c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</row>
    <row r="414" ht="15.75" customHeight="1" s="46">
      <c r="A414" s="39" t="inlineStr">
        <is>
          <t>плащ города brecilien (мастер)</t>
        </is>
      </c>
      <c r="B414" s="48" t="n">
        <v>341987</v>
      </c>
      <c r="C414" s="16" t="n">
        <v>0</v>
      </c>
      <c r="D414" s="16" t="n">
        <v>5</v>
      </c>
      <c r="E414" s="37" t="inlineStr">
        <is>
          <t>0.80</t>
        </is>
      </c>
      <c r="F414" s="12" t="n">
        <v>3.8</v>
      </c>
      <c r="G414" s="18" t="n">
        <v>317978</v>
      </c>
      <c r="H414" s="12" t="n">
        <v>24009</v>
      </c>
      <c r="I414" s="6" t="n"/>
      <c r="J414" s="6">
        <f>IF((B414*0.935 - F414*500) / (1.025*(1+$P$2/100)) &lt;= F414*500/0.15,ROUND(MAX(0, (B414*0.935 - F414*500) / (1.025*(1+$P$2/100))),0),ROUND(MAX(0, B414*0.935 / (1.175*(1+$P$2/100))),0))</f>
        <v/>
      </c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</row>
    <row r="415" ht="15.75" customHeight="1" s="46">
      <c r="A415" s="40" t="inlineStr">
        <is>
          <t>плащ города brecilien (магистр)</t>
        </is>
      </c>
      <c r="B415" s="48" t="n">
        <v>656557</v>
      </c>
      <c r="C415" s="16" t="n">
        <v>0</v>
      </c>
      <c r="D415" s="16" t="n">
        <v>5</v>
      </c>
      <c r="E415" s="37" t="inlineStr">
        <is>
          <t>0.80</t>
        </is>
      </c>
      <c r="F415" s="12" t="n">
        <v>5.7</v>
      </c>
      <c r="G415" s="18" t="n">
        <v>620000</v>
      </c>
      <c r="H415" s="12" t="n">
        <v>36557</v>
      </c>
      <c r="I415" s="6" t="n"/>
      <c r="J415" s="6">
        <f>IF((B415*0.935 - F415*500) / (1.025*(1+$P$2/100)) &lt;= F415*500/0.15,ROUND(MAX(0, (B415*0.935 - F415*500) / (1.025*(1+$P$2/100))),0),ROUND(MAX(0, B415*0.935 / (1.175*(1+$P$2/100))),0))</f>
        <v/>
      </c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</row>
    <row r="416" ht="15.75" customHeight="1" s="46">
      <c r="A416" s="41" t="inlineStr">
        <is>
          <t>плащ города brecilien (старейшина)</t>
        </is>
      </c>
      <c r="B416" s="48" t="n">
        <v>1342555</v>
      </c>
      <c r="C416" s="42" t="n">
        <v>0</v>
      </c>
      <c r="D416" s="16" t="n">
        <v>5</v>
      </c>
      <c r="E416" s="37" t="inlineStr">
        <is>
          <t>0.80</t>
        </is>
      </c>
      <c r="F416" s="12" t="n">
        <v>8.5</v>
      </c>
      <c r="G416" s="18" t="n">
        <v>0</v>
      </c>
      <c r="H416" s="12" t="n">
        <v>1342555</v>
      </c>
      <c r="I416" s="6" t="n"/>
      <c r="J416" s="6">
        <f>IF((B416*0.935 - F416*500) / (1.025*(1+$P$2/100)) &lt;= F416*500/0.15,ROUND(MAX(0, (B416*0.935 - F416*500) / (1.025*(1+$P$2/100))),0),ROUND(MAX(0, B416*0.935 / (1.175*(1+$P$2/100))),0))</f>
        <v/>
      </c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</row>
    <row r="417" ht="15.75" customHeight="1" s="46">
      <c r="A417" s="36" t="inlineStr">
        <is>
          <t>плащ города caerleon (знаток)</t>
        </is>
      </c>
      <c r="B417" s="63" t="n">
        <v>98999</v>
      </c>
      <c r="C417" s="42" t="n">
        <v>0</v>
      </c>
      <c r="D417" s="16" t="n">
        <v>5</v>
      </c>
      <c r="E417" s="37" t="inlineStr">
        <is>
          <t>0.80</t>
        </is>
      </c>
      <c r="F417" s="12" t="n">
        <v>1.7</v>
      </c>
      <c r="G417" s="18" t="n">
        <v>120946</v>
      </c>
      <c r="H417" s="12" t="n">
        <v>-21947</v>
      </c>
      <c r="I417" s="6" t="n"/>
      <c r="J417" s="6">
        <f>IF((B417*0.935 - F417*500) / (1.025*(1+$P$2/100)) &lt;= F417*500/0.15,ROUND(MAX(0, (B417*0.935 - F417*500) / (1.025*(1+$P$2/100))),0),ROUND(MAX(0, B417*0.935 / (1.175*(1+$P$2/100))),0))</f>
        <v/>
      </c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</row>
    <row r="418" ht="15.75" customHeight="1" s="46">
      <c r="A418" s="38" t="inlineStr">
        <is>
          <t>плащ города caerleon (эксперт)</t>
        </is>
      </c>
      <c r="B418" s="63" t="n">
        <v>178996</v>
      </c>
      <c r="C418" s="42" t="n">
        <v>0</v>
      </c>
      <c r="D418" s="16" t="n">
        <v>5</v>
      </c>
      <c r="E418" s="37" t="inlineStr">
        <is>
          <t>0.80</t>
        </is>
      </c>
      <c r="F418" s="12" t="n">
        <v>2.5</v>
      </c>
      <c r="G418" s="18" t="n">
        <v>199952</v>
      </c>
      <c r="H418" s="12" t="n">
        <v>-20956</v>
      </c>
      <c r="I418" s="6" t="n"/>
      <c r="J418" s="6">
        <f>IF((B418*0.935 - F418*500) / (1.025*(1+$P$2/100)) &lt;= F418*500/0.15,ROUND(MAX(0, (B418*0.935 - F418*500) / (1.025*(1+$P$2/100))),0),ROUND(MAX(0, B418*0.935 / (1.175*(1+$P$2/100))),0))</f>
        <v/>
      </c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</row>
    <row r="419" ht="15.75" customHeight="1" s="46">
      <c r="A419" s="39" t="inlineStr">
        <is>
          <t>плащ города caerleon (мастер)</t>
        </is>
      </c>
      <c r="B419" s="63" t="n">
        <v>414887</v>
      </c>
      <c r="C419" s="16" t="n">
        <v>0</v>
      </c>
      <c r="D419" s="16" t="n">
        <v>5</v>
      </c>
      <c r="E419" s="37" t="inlineStr">
        <is>
          <t>0.80</t>
        </is>
      </c>
      <c r="F419" s="12" t="n">
        <v>3.8</v>
      </c>
      <c r="G419" s="18" t="n">
        <v>265000</v>
      </c>
      <c r="H419" s="12" t="n">
        <v>149887</v>
      </c>
      <c r="I419" s="6" t="n"/>
      <c r="J419" s="6">
        <f>IF((B419*0.935 - F419*500) / (1.025*(1+$P$2/100)) &lt;= F419*500/0.15,ROUND(MAX(0, (B419*0.935 - F419*500) / (1.025*(1+$P$2/100))),0),ROUND(MAX(0, B419*0.935 / (1.175*(1+$P$2/100))),0))</f>
        <v/>
      </c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</row>
    <row r="420" ht="15.75" customHeight="1" s="46">
      <c r="A420" s="40" t="inlineStr">
        <is>
          <t>плащ города caerleon (магистр)</t>
        </is>
      </c>
      <c r="B420" s="63" t="n">
        <v>749999</v>
      </c>
      <c r="C420" s="16" t="n">
        <v>0</v>
      </c>
      <c r="D420" s="16" t="n">
        <v>5</v>
      </c>
      <c r="E420" s="37" t="inlineStr">
        <is>
          <t>0.80</t>
        </is>
      </c>
      <c r="F420" s="12" t="n">
        <v>5.7</v>
      </c>
      <c r="G420" s="18" t="n">
        <v>706000</v>
      </c>
      <c r="H420" s="12" t="n">
        <v>43999</v>
      </c>
      <c r="I420" s="6" t="n"/>
      <c r="J420" s="6">
        <f>IF((B420*0.935 - F420*500) / (1.025*(1+$P$2/100)) &lt;= F420*500/0.15,ROUND(MAX(0, (B420*0.935 - F420*500) / (1.025*(1+$P$2/100))),0),ROUND(MAX(0, B420*0.935 / (1.175*(1+$P$2/100))),0))</f>
        <v/>
      </c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</row>
    <row r="421" ht="15.75" customHeight="1" s="46">
      <c r="A421" s="41" t="inlineStr">
        <is>
          <t>плащ города caerleon (старейшина)</t>
        </is>
      </c>
      <c r="B421" s="63" t="n">
        <v>1777764</v>
      </c>
      <c r="C421" s="16" t="n">
        <v>0</v>
      </c>
      <c r="D421" s="16" t="n">
        <v>5</v>
      </c>
      <c r="E421" s="37" t="inlineStr">
        <is>
          <t>0.80</t>
        </is>
      </c>
      <c r="F421" s="12" t="n">
        <v>8.5</v>
      </c>
      <c r="G421" s="18" t="n">
        <v>2000000</v>
      </c>
      <c r="H421" s="12" t="n">
        <v>-222236</v>
      </c>
      <c r="I421" s="6" t="n"/>
      <c r="J421" s="6">
        <f>IF((B421*0.935 - F421*500) / (1.025*(1+$P$2/100)) &lt;= F421*500/0.15,ROUND(MAX(0, (B421*0.935 - F421*500) / (1.025*(1+$P$2/100))),0),ROUND(MAX(0, B421*0.935 / (1.175*(1+$P$2/100))),0))</f>
        <v/>
      </c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</row>
    <row r="422" ht="15.75" customHeight="1" s="46">
      <c r="A422" s="36" t="inlineStr">
        <is>
          <t>накидка города bridgewatch (знаток)</t>
        </is>
      </c>
      <c r="B422" s="48" t="n">
        <v>78511</v>
      </c>
      <c r="C422" s="16" t="n">
        <v>0</v>
      </c>
      <c r="D422" s="16" t="n">
        <v>5</v>
      </c>
      <c r="E422" s="37" t="inlineStr">
        <is>
          <t>0.80</t>
        </is>
      </c>
      <c r="F422" s="12" t="n">
        <v>3.4</v>
      </c>
      <c r="G422" s="18" t="n">
        <v>50000</v>
      </c>
      <c r="H422" s="12" t="n">
        <v>28511</v>
      </c>
      <c r="I422" s="6" t="n"/>
      <c r="J422" s="6">
        <f>IF((B422*0.935 - F422*500) / (1.025*(1+$P$2/100)) &lt;= F422*500/0.15,ROUND(MAX(0, (B422*0.935 - F422*500) / (1.025*(1+$P$2/100))),0),ROUND(MAX(0, B422*0.935 / (1.175*(1+$P$2/100))),0))</f>
        <v/>
      </c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</row>
    <row r="423" ht="15.75" customHeight="1" s="46">
      <c r="A423" s="38" t="inlineStr">
        <is>
          <t>накидка города bridgewatch (эксперт)</t>
        </is>
      </c>
      <c r="B423" s="48" t="n">
        <v>118797</v>
      </c>
      <c r="C423" s="16" t="n">
        <v>0</v>
      </c>
      <c r="D423" s="16" t="n">
        <v>5</v>
      </c>
      <c r="E423" s="37" t="inlineStr">
        <is>
          <t>0.80</t>
        </is>
      </c>
      <c r="F423" s="12" t="n">
        <v>5.1</v>
      </c>
      <c r="G423" s="18" t="n">
        <v>98000</v>
      </c>
      <c r="H423" s="12" t="n">
        <v>20797</v>
      </c>
      <c r="I423" s="6" t="n"/>
      <c r="J423" s="6">
        <f>IF((B423*0.935 - F423*500) / (1.025*(1+$P$2/100)) &lt;= F423*500/0.15,ROUND(MAX(0, (B423*0.935 - F423*500) / (1.025*(1+$P$2/100))),0),ROUND(MAX(0, B423*0.935 / (1.175*(1+$P$2/100))),0))</f>
        <v/>
      </c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</row>
    <row r="424" ht="15.75" customHeight="1" s="46">
      <c r="A424" s="39" t="inlineStr">
        <is>
          <t>накидка города bridgewatch (мастер)</t>
        </is>
      </c>
      <c r="B424" s="48" t="n">
        <v>288797</v>
      </c>
      <c r="C424" s="16" t="n">
        <v>0</v>
      </c>
      <c r="D424" s="16" t="n">
        <v>5</v>
      </c>
      <c r="E424" s="37" t="inlineStr">
        <is>
          <t>0.80</t>
        </is>
      </c>
      <c r="F424" s="12" t="n">
        <v>7.6</v>
      </c>
      <c r="G424" s="18" t="n">
        <v>212222</v>
      </c>
      <c r="H424" s="12" t="n">
        <v>76575</v>
      </c>
      <c r="I424" s="6" t="n"/>
      <c r="J424" s="6">
        <f>IF((B424*0.935 - F424*500) / (1.025*(1+$P$2/100)) &lt;= F424*500/0.15,ROUND(MAX(0, (B424*0.935 - F424*500) / (1.025*(1+$P$2/100))),0),ROUND(MAX(0, B424*0.935 / (1.175*(1+$P$2/100))),0))</f>
        <v/>
      </c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</row>
    <row r="425" ht="15.75" customHeight="1" s="46">
      <c r="A425" s="40" t="inlineStr">
        <is>
          <t>накидка города bridgewatch (магистр)</t>
        </is>
      </c>
      <c r="B425" s="48" t="n">
        <v>519985</v>
      </c>
      <c r="C425" s="16" t="n">
        <v>0</v>
      </c>
      <c r="D425" s="16" t="n">
        <v>5</v>
      </c>
      <c r="E425" s="37" t="inlineStr">
        <is>
          <t>0.80</t>
        </is>
      </c>
      <c r="F425" s="12" t="n">
        <v>11.4</v>
      </c>
      <c r="G425" s="18" t="n">
        <v>498960</v>
      </c>
      <c r="H425" s="12" t="n">
        <v>21025</v>
      </c>
      <c r="I425" s="6" t="n"/>
      <c r="J425" s="6">
        <f>IF((B425*0.935 - F425*500) / (1.025*(1+$P$2/100)) &lt;= F425*500/0.15,ROUND(MAX(0, (B425*0.935 - F425*500) / (1.025*(1+$P$2/100))),0),ROUND(MAX(0, B425*0.935 / (1.175*(1+$P$2/100))),0))</f>
        <v/>
      </c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</row>
    <row r="426" ht="15.75" customHeight="1" s="46">
      <c r="A426" s="41" t="inlineStr">
        <is>
          <t>накидка города bridgewatch (старейшина)</t>
        </is>
      </c>
      <c r="B426" s="48" t="n">
        <v>1149999</v>
      </c>
      <c r="C426" s="42" t="n">
        <v>0</v>
      </c>
      <c r="D426" s="16" t="n">
        <v>5</v>
      </c>
      <c r="E426" s="37" t="inlineStr">
        <is>
          <t>0.80</t>
        </is>
      </c>
      <c r="F426" s="12" t="n">
        <v>17.1</v>
      </c>
      <c r="G426" s="18" t="n">
        <v>1098991</v>
      </c>
      <c r="H426" s="12" t="n">
        <v>51008</v>
      </c>
      <c r="I426" s="6" t="n"/>
      <c r="J426" s="6">
        <f>IF((B426*0.935 - F426*500) / (1.025*(1+$P$2/100)) &lt;= F426*500/0.15,ROUND(MAX(0, (B426*0.935 - F426*500) / (1.025*(1+$P$2/100))),0),ROUND(MAX(0, B426*0.935 / (1.175*(1+$P$2/100))),0))</f>
        <v/>
      </c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</row>
    <row r="427" ht="15.75" customHeight="1" s="46">
      <c r="A427" s="36" t="inlineStr">
        <is>
          <t>накидка города lymhurst (знаток)</t>
        </is>
      </c>
      <c r="B427" s="48" t="n">
        <v>70000</v>
      </c>
      <c r="C427" s="42" t="n">
        <v>0</v>
      </c>
      <c r="D427" s="16" t="n">
        <v>5</v>
      </c>
      <c r="E427" s="37" t="inlineStr">
        <is>
          <t>0.80</t>
        </is>
      </c>
      <c r="F427" s="12" t="n">
        <v>3.4</v>
      </c>
      <c r="G427" s="18" t="n">
        <v>73319</v>
      </c>
      <c r="H427" s="12" t="n">
        <v>-3319</v>
      </c>
      <c r="I427" s="6" t="n"/>
      <c r="J427" s="6">
        <f>IF((B427*0.935 - F427*500) / (1.025*(1+$P$2/100)) &lt;= F427*500/0.15,ROUND(MAX(0, (B427*0.935 - F427*500) / (1.025*(1+$P$2/100))),0),ROUND(MAX(0, B427*0.935 / (1.175*(1+$P$2/100))),0))</f>
        <v/>
      </c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</row>
    <row r="428" ht="15.75" customHeight="1" s="46">
      <c r="A428" s="38" t="inlineStr">
        <is>
          <t>накидка города lymhurst (эксперт)</t>
        </is>
      </c>
      <c r="B428" s="48" t="n">
        <v>109981</v>
      </c>
      <c r="C428" s="42" t="n">
        <v>0</v>
      </c>
      <c r="D428" s="16" t="n">
        <v>5</v>
      </c>
      <c r="E428" s="37" t="inlineStr">
        <is>
          <t>0.80</t>
        </is>
      </c>
      <c r="F428" s="12" t="n">
        <v>5.1</v>
      </c>
      <c r="G428" s="18" t="n">
        <v>138995</v>
      </c>
      <c r="H428" s="12" t="n">
        <v>-29014</v>
      </c>
      <c r="I428" s="6" t="n"/>
      <c r="J428" s="6">
        <f>IF((B428*0.935 - F428*500) / (1.025*(1+$P$2/100)) &lt;= F428*500/0.15,ROUND(MAX(0, (B428*0.935 - F428*500) / (1.025*(1+$P$2/100))),0),ROUND(MAX(0, B428*0.935 / (1.175*(1+$P$2/100))),0))</f>
        <v/>
      </c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</row>
    <row r="429" ht="15.75" customHeight="1" s="46">
      <c r="A429" s="39" t="inlineStr">
        <is>
          <t>накидка города lymhurst (мастер)</t>
        </is>
      </c>
      <c r="B429" s="48" t="n">
        <v>318695</v>
      </c>
      <c r="C429" s="16" t="n">
        <v>0</v>
      </c>
      <c r="D429" s="16" t="n">
        <v>5</v>
      </c>
      <c r="E429" s="37" t="inlineStr">
        <is>
          <t>0.80</t>
        </is>
      </c>
      <c r="F429" s="12" t="n">
        <v>7.6</v>
      </c>
      <c r="G429" s="18" t="n">
        <v>294983</v>
      </c>
      <c r="H429" s="12" t="n">
        <v>23712</v>
      </c>
      <c r="I429" s="6" t="n"/>
      <c r="J429" s="6">
        <f>IF((B429*0.935 - F429*500) / (1.025*(1+$P$2/100)) &lt;= F429*500/0.15,ROUND(MAX(0, (B429*0.935 - F429*500) / (1.025*(1+$P$2/100))),0),ROUND(MAX(0, B429*0.935 / (1.175*(1+$P$2/100))),0))</f>
        <v/>
      </c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</row>
    <row r="430" ht="15.75" customHeight="1" s="46">
      <c r="A430" s="40" t="inlineStr">
        <is>
          <t>накидка города lymhurst (магистр)</t>
        </is>
      </c>
      <c r="B430" s="48" t="n">
        <v>523219</v>
      </c>
      <c r="C430" s="16" t="n">
        <v>0</v>
      </c>
      <c r="D430" s="16" t="n">
        <v>5</v>
      </c>
      <c r="E430" s="37" t="inlineStr">
        <is>
          <t>0.80</t>
        </is>
      </c>
      <c r="F430" s="12" t="n">
        <v>11.4</v>
      </c>
      <c r="G430" s="18" t="n">
        <v>663991</v>
      </c>
      <c r="H430" s="12" t="n">
        <v>-140772</v>
      </c>
      <c r="I430" s="6" t="n"/>
      <c r="J430" s="6">
        <f>IF((B430*0.935 - F430*500) / (1.025*(1+$P$2/100)) &lt;= F430*500/0.15,ROUND(MAX(0, (B430*0.935 - F430*500) / (1.025*(1+$P$2/100))),0),ROUND(MAX(0, B430*0.935 / (1.175*(1+$P$2/100))),0))</f>
        <v/>
      </c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</row>
    <row r="431" ht="15.75" customHeight="1" s="46">
      <c r="A431" s="41" t="inlineStr">
        <is>
          <t>накидка города lymhurst (старейшина)</t>
        </is>
      </c>
      <c r="B431" s="48" t="n">
        <v>1419985</v>
      </c>
      <c r="C431" s="16" t="n">
        <v>0</v>
      </c>
      <c r="D431" s="16" t="n">
        <v>5</v>
      </c>
      <c r="E431" s="37" t="inlineStr">
        <is>
          <t>0.80</t>
        </is>
      </c>
      <c r="F431" s="12" t="n">
        <v>17.1</v>
      </c>
      <c r="G431" s="18" t="n">
        <v>1324496</v>
      </c>
      <c r="H431" s="12" t="n">
        <v>95489</v>
      </c>
      <c r="I431" s="6" t="n"/>
      <c r="J431" s="6">
        <f>IF((B431*0.935 - F431*500) / (1.025*(1+$P$2/100)) &lt;= F431*500/0.15,ROUND(MAX(0, (B431*0.935 - F431*500) / (1.025*(1+$P$2/100))),0),ROUND(MAX(0, B431*0.935 / (1.175*(1+$P$2/100))),0))</f>
        <v/>
      </c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</row>
    <row r="432" ht="15.75" customHeight="1" s="46">
      <c r="A432" s="18" t="inlineStr">
        <is>
          <t>накидка города fort sterling (знаток)</t>
        </is>
      </c>
      <c r="B432" s="48" t="n">
        <v>66925</v>
      </c>
      <c r="C432" s="18" t="n">
        <v>0</v>
      </c>
      <c r="D432" s="18" t="n">
        <v>5</v>
      </c>
      <c r="E432" s="37" t="inlineStr">
        <is>
          <t>0.80</t>
        </is>
      </c>
      <c r="F432" s="12" t="n">
        <v>3.4</v>
      </c>
      <c r="G432" s="18" t="n">
        <v>90943</v>
      </c>
      <c r="H432" s="12" t="n">
        <v>-24018</v>
      </c>
      <c r="I432" s="6" t="n"/>
      <c r="J432" s="6">
        <f>IF((B432*0.935 - F432*500) / (1.025*(1+$P$2/100)) &lt;= F432*500/0.15,ROUND(MAX(0, (B432*0.935 - F432*500) / (1.025*(1+$P$2/100))),0),ROUND(MAX(0, B432*0.935 / (1.175*(1+$P$2/100))),0))</f>
        <v/>
      </c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</row>
    <row r="433" ht="15.75" customHeight="1" s="46">
      <c r="A433" s="18" t="inlineStr">
        <is>
          <t>накидка города fort sterling (эксперт)</t>
        </is>
      </c>
      <c r="B433" s="48" t="n">
        <v>121955</v>
      </c>
      <c r="C433" s="6" t="n"/>
      <c r="D433" s="18" t="n">
        <v>5</v>
      </c>
      <c r="E433" s="37" t="inlineStr">
        <is>
          <t>0.80</t>
        </is>
      </c>
      <c r="F433" s="12" t="n">
        <v>5.1</v>
      </c>
      <c r="G433" s="18" t="n">
        <v>91994</v>
      </c>
      <c r="H433" s="12" t="n">
        <v>29961</v>
      </c>
      <c r="I433" s="6" t="n"/>
      <c r="J433" s="6">
        <f>IF((B433*0.935 - F433*500) / (1.025*(1+$P$2/100)) &lt;= F433*500/0.15,ROUND(MAX(0, (B433*0.935 - F433*500) / (1.025*(1+$P$2/100))),0),ROUND(MAX(0, B433*0.935 / (1.175*(1+$P$2/100))),0))</f>
        <v/>
      </c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</row>
    <row r="434" ht="15.75" customHeight="1" s="46">
      <c r="A434" s="18" t="inlineStr">
        <is>
          <t>накидка города fort sterling (мастер)</t>
        </is>
      </c>
      <c r="B434" s="48" t="n">
        <v>267996</v>
      </c>
      <c r="C434" s="18" t="n">
        <v>0</v>
      </c>
      <c r="D434" s="18" t="n">
        <v>5</v>
      </c>
      <c r="E434" s="37" t="inlineStr">
        <is>
          <t>0.80</t>
        </is>
      </c>
      <c r="F434" s="12" t="n">
        <v>7.6</v>
      </c>
      <c r="G434" s="18" t="n">
        <v>253998</v>
      </c>
      <c r="H434" s="12" t="n">
        <v>13998</v>
      </c>
      <c r="I434" s="6" t="n"/>
      <c r="J434" s="6">
        <f>IF((B434*0.935 - F434*500) / (1.025*(1+$P$2/100)) &lt;= F434*500/0.15,ROUND(MAX(0, (B434*0.935 - F434*500) / (1.025*(1+$P$2/100))),0),ROUND(MAX(0, B434*0.935 / (1.175*(1+$P$2/100))),0))</f>
        <v/>
      </c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</row>
    <row r="435" ht="15.75" customHeight="1" s="46">
      <c r="A435" s="18" t="inlineStr">
        <is>
          <t>накидка города fort sterling (магистр)</t>
        </is>
      </c>
      <c r="B435" s="48" t="n">
        <v>457649</v>
      </c>
      <c r="C435" s="18" t="n">
        <v>0</v>
      </c>
      <c r="D435" s="18" t="n">
        <v>5</v>
      </c>
      <c r="E435" s="37" t="inlineStr">
        <is>
          <t>0.80</t>
        </is>
      </c>
      <c r="F435" s="12" t="n">
        <v>11.4</v>
      </c>
      <c r="G435" s="18" t="n">
        <v>425000</v>
      </c>
      <c r="H435" s="12" t="n">
        <v>32649</v>
      </c>
      <c r="I435" s="6" t="n"/>
      <c r="J435" s="6">
        <f>IF((B435*0.935 - F435*500) / (1.025*(1+$P$2/100)) &lt;= F435*500/0.15,ROUND(MAX(0, (B435*0.935 - F435*500) / (1.025*(1+$P$2/100))),0),ROUND(MAX(0, B435*0.935 / (1.175*(1+$P$2/100))),0))</f>
        <v/>
      </c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</row>
    <row r="436" ht="15.75" customHeight="1" s="46">
      <c r="A436" s="18" t="inlineStr">
        <is>
          <t>накидка города fort sterling (старейшина)</t>
        </is>
      </c>
      <c r="B436" s="48" t="n">
        <v>989999</v>
      </c>
      <c r="C436" s="18" t="n">
        <v>0</v>
      </c>
      <c r="D436" s="18" t="n">
        <v>5</v>
      </c>
      <c r="E436" s="37" t="inlineStr">
        <is>
          <t>0.80</t>
        </is>
      </c>
      <c r="F436" s="12" t="n">
        <v>17.1</v>
      </c>
      <c r="G436" s="18" t="n">
        <v>1119999</v>
      </c>
      <c r="H436" s="12" t="n">
        <v>-130000</v>
      </c>
      <c r="I436" s="6" t="n"/>
      <c r="J436" s="6">
        <f>IF((B436*0.935 - F436*500) / (1.025*(1+$P$2/100)) &lt;= F436*500/0.15,ROUND(MAX(0, (B436*0.935 - F436*500) / (1.025*(1+$P$2/100))),0),ROUND(MAX(0, B436*0.935 / (1.175*(1+$P$2/100))),0))</f>
        <v/>
      </c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</row>
    <row r="437" ht="15.75" customHeight="1" s="46">
      <c r="A437" s="36" t="inlineStr">
        <is>
          <t>накидка города martlock (знаток)</t>
        </is>
      </c>
      <c r="B437" s="48" t="n">
        <v>77997</v>
      </c>
      <c r="C437" s="42" t="n">
        <v>0</v>
      </c>
      <c r="D437" s="16" t="n">
        <v>5</v>
      </c>
      <c r="E437" s="37" t="inlineStr">
        <is>
          <t>0.80</t>
        </is>
      </c>
      <c r="F437" s="12" t="n">
        <v>3.4</v>
      </c>
      <c r="G437" s="18" t="n">
        <v>8111</v>
      </c>
      <c r="H437" s="12" t="n">
        <v>69886</v>
      </c>
      <c r="I437" s="6" t="n"/>
      <c r="J437" s="6">
        <f>IF((B437*0.935 - F437*500) / (1.025*(1+$P$2/100)) &lt;= F437*500/0.15,ROUND(MAX(0, (B437*0.935 - F437*500) / (1.025*(1+$P$2/100))),0),ROUND(MAX(0, B437*0.935 / (1.175*(1+$P$2/100))),0))</f>
        <v/>
      </c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</row>
    <row r="438" ht="15.75" customHeight="1" s="46">
      <c r="A438" s="38" t="inlineStr">
        <is>
          <t>накидка города martlock (эксперт)</t>
        </is>
      </c>
      <c r="B438" s="48" t="n">
        <v>85055</v>
      </c>
      <c r="C438" s="42" t="n">
        <v>0</v>
      </c>
      <c r="D438" s="16" t="n">
        <v>5</v>
      </c>
      <c r="E438" s="37" t="inlineStr">
        <is>
          <t>0.80</t>
        </is>
      </c>
      <c r="F438" s="12" t="n">
        <v>5.1</v>
      </c>
      <c r="G438" s="18" t="n">
        <v>107939</v>
      </c>
      <c r="H438" s="12" t="n">
        <v>-22884</v>
      </c>
      <c r="I438" s="6" t="n"/>
      <c r="J438" s="6">
        <f>IF((B438*0.935 - F438*500) / (1.025*(1+$P$2/100)) &lt;= F438*500/0.15,ROUND(MAX(0, (B438*0.935 - F438*500) / (1.025*(1+$P$2/100))),0),ROUND(MAX(0, B438*0.935 / (1.175*(1+$P$2/100))),0))</f>
        <v/>
      </c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</row>
    <row r="439" ht="15.75" customHeight="1" s="46">
      <c r="A439" s="39" t="inlineStr">
        <is>
          <t>накидка города martlock (мастер)</t>
        </is>
      </c>
      <c r="B439" s="48" t="n">
        <v>222993</v>
      </c>
      <c r="C439" s="16" t="n">
        <v>0</v>
      </c>
      <c r="D439" s="16" t="n">
        <v>5</v>
      </c>
      <c r="E439" s="37" t="inlineStr">
        <is>
          <t>0.80</t>
        </is>
      </c>
      <c r="F439" s="12" t="n">
        <v>7.6</v>
      </c>
      <c r="G439" s="18" t="n">
        <v>242959</v>
      </c>
      <c r="H439" s="12" t="n">
        <v>-19966</v>
      </c>
      <c r="I439" s="6" t="n"/>
      <c r="J439" s="6">
        <f>IF((B439*0.935 - F439*500) / (1.025*(1+$P$2/100)) &lt;= F439*500/0.15,ROUND(MAX(0, (B439*0.935 - F439*500) / (1.025*(1+$P$2/100))),0),ROUND(MAX(0, B439*0.935 / (1.175*(1+$P$2/100))),0))</f>
        <v/>
      </c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</row>
    <row r="440" ht="15.75" customHeight="1" s="46">
      <c r="A440" s="40" t="inlineStr">
        <is>
          <t>накидка города martlock (магистр)</t>
        </is>
      </c>
      <c r="B440" s="48" t="n">
        <v>399991</v>
      </c>
      <c r="C440" s="16" t="n">
        <v>0</v>
      </c>
      <c r="D440" s="16" t="n">
        <v>5</v>
      </c>
      <c r="E440" s="37" t="inlineStr">
        <is>
          <t>0.80</t>
        </is>
      </c>
      <c r="F440" s="12" t="n">
        <v>11.4</v>
      </c>
      <c r="G440" s="18" t="n">
        <v>422993</v>
      </c>
      <c r="H440" s="12" t="n">
        <v>-23002</v>
      </c>
      <c r="I440" s="6" t="n"/>
      <c r="J440" s="6">
        <f>IF((B440*0.935 - F440*500) / (1.025*(1+$P$2/100)) &lt;= F440*500/0.15,ROUND(MAX(0, (B440*0.935 - F440*500) / (1.025*(1+$P$2/100))),0),ROUND(MAX(0, B440*0.935 / (1.175*(1+$P$2/100))),0))</f>
        <v/>
      </c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</row>
    <row r="441" ht="15.75" customHeight="1" s="46">
      <c r="A441" s="41" t="inlineStr">
        <is>
          <t>накидка города martlock (старейшина)</t>
        </is>
      </c>
      <c r="B441" s="48" t="n">
        <v>1198999</v>
      </c>
      <c r="C441" s="16" t="n">
        <v>0</v>
      </c>
      <c r="D441" s="16" t="n">
        <v>5</v>
      </c>
      <c r="E441" s="37" t="inlineStr">
        <is>
          <t>0.80</t>
        </is>
      </c>
      <c r="F441" s="12" t="n">
        <v>17.1</v>
      </c>
      <c r="G441" s="18" t="n">
        <v>1250000</v>
      </c>
      <c r="H441" s="12" t="n">
        <v>-51001</v>
      </c>
      <c r="I441" s="6" t="n"/>
      <c r="J441" s="6">
        <f>IF((B441*0.935 - F441*500) / (1.025*(1+$P$2/100)) &lt;= F441*500/0.15,ROUND(MAX(0, (B441*0.935 - F441*500) / (1.025*(1+$P$2/100))),0),ROUND(MAX(0, B441*0.935 / (1.175*(1+$P$2/100))),0))</f>
        <v/>
      </c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</row>
    <row r="442" ht="15.75" customHeight="1" s="46">
      <c r="A442" s="36" t="inlineStr">
        <is>
          <t>накидка города thetford (знаток)</t>
        </is>
      </c>
      <c r="B442" s="48" t="n">
        <v>80899</v>
      </c>
      <c r="C442" s="16" t="n">
        <v>0</v>
      </c>
      <c r="D442" s="16" t="n">
        <v>5</v>
      </c>
      <c r="E442" s="37" t="inlineStr">
        <is>
          <t>0.80</t>
        </is>
      </c>
      <c r="F442" s="12" t="n">
        <v>3.4</v>
      </c>
      <c r="G442" s="18" t="n">
        <v>79996</v>
      </c>
      <c r="H442" s="12" t="n">
        <v>903</v>
      </c>
      <c r="I442" s="6" t="n"/>
      <c r="J442" s="6">
        <f>IF((B442*0.935 - F442*500) / (1.025*(1+$P$2/100)) &lt;= F442*500/0.15,ROUND(MAX(0, (B442*0.935 - F442*500) / (1.025*(1+$P$2/100))),0),ROUND(MAX(0, B442*0.935 / (1.175*(1+$P$2/100))),0))</f>
        <v/>
      </c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</row>
    <row r="443" ht="15.75" customHeight="1" s="46">
      <c r="A443" s="38" t="inlineStr">
        <is>
          <t>накидка города thetford (эксперт)</t>
        </is>
      </c>
      <c r="B443" s="48" t="n">
        <v>141036</v>
      </c>
      <c r="C443" s="16" t="n">
        <v>0</v>
      </c>
      <c r="D443" s="16" t="n">
        <v>5</v>
      </c>
      <c r="E443" s="37" t="inlineStr">
        <is>
          <t>0.80</t>
        </is>
      </c>
      <c r="F443" s="12" t="n">
        <v>5.1</v>
      </c>
      <c r="G443" s="18" t="n">
        <v>119959</v>
      </c>
      <c r="H443" s="12" t="n">
        <v>21077</v>
      </c>
      <c r="I443" s="6" t="n"/>
      <c r="J443" s="6">
        <f>IF((B443*0.935 - F443*500) / (1.025*(1+$P$2/100)) &lt;= F443*500/0.15,ROUND(MAX(0, (B443*0.935 - F443*500) / (1.025*(1+$P$2/100))),0),ROUND(MAX(0, B443*0.935 / (1.175*(1+$P$2/100))),0))</f>
        <v/>
      </c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</row>
    <row r="444" ht="15.75" customHeight="1" s="46">
      <c r="A444" s="39" t="inlineStr">
        <is>
          <t>накидка города thetford (мастер)</t>
        </is>
      </c>
      <c r="B444" s="48" t="n">
        <v>309898</v>
      </c>
      <c r="C444" s="16" t="n">
        <v>0</v>
      </c>
      <c r="D444" s="16" t="n">
        <v>5</v>
      </c>
      <c r="E444" s="37" t="inlineStr">
        <is>
          <t>0.80</t>
        </is>
      </c>
      <c r="F444" s="12" t="n">
        <v>7.6</v>
      </c>
      <c r="G444" s="18" t="n">
        <v>245000</v>
      </c>
      <c r="H444" s="12" t="n">
        <v>64898</v>
      </c>
      <c r="I444" s="6" t="n"/>
      <c r="J444" s="6">
        <f>IF((B444*0.935 - F444*500) / (1.025*(1+$P$2/100)) &lt;= F444*500/0.15,ROUND(MAX(0, (B444*0.935 - F444*500) / (1.025*(1+$P$2/100))),0),ROUND(MAX(0, B444*0.935 / (1.175*(1+$P$2/100))),0))</f>
        <v/>
      </c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</row>
    <row r="445" ht="15.75" customHeight="1" s="46">
      <c r="A445" s="40" t="inlineStr">
        <is>
          <t>накидка города thetford (магистр)</t>
        </is>
      </c>
      <c r="B445" s="48" t="n">
        <v>554449</v>
      </c>
      <c r="C445" s="16" t="n">
        <v>0</v>
      </c>
      <c r="D445" s="16" t="n">
        <v>5</v>
      </c>
      <c r="E445" s="37" t="inlineStr">
        <is>
          <t>0.80</t>
        </is>
      </c>
      <c r="F445" s="12" t="n">
        <v>11.4</v>
      </c>
      <c r="G445" s="18" t="n">
        <v>638999</v>
      </c>
      <c r="H445" s="12" t="n">
        <v>-84550</v>
      </c>
      <c r="I445" s="6" t="n"/>
      <c r="J445" s="6">
        <f>IF((B445*0.935 - F445*500) / (1.025*(1+$P$2/100)) &lt;= F445*500/0.15,ROUND(MAX(0, (B445*0.935 - F445*500) / (1.025*(1+$P$2/100))),0),ROUND(MAX(0, B445*0.935 / (1.175*(1+$P$2/100))),0))</f>
        <v/>
      </c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</row>
    <row r="446" ht="15.75" customHeight="1" s="46">
      <c r="A446" s="41" t="inlineStr">
        <is>
          <t>накидка города thetford (старейшина)</t>
        </is>
      </c>
      <c r="B446" s="48" t="n">
        <v>1324565</v>
      </c>
      <c r="C446" s="42" t="n">
        <v>0</v>
      </c>
      <c r="D446" s="16" t="n">
        <v>5</v>
      </c>
      <c r="E446" s="37" t="inlineStr">
        <is>
          <t>0.80</t>
        </is>
      </c>
      <c r="F446" s="12" t="n">
        <v>17.1</v>
      </c>
      <c r="G446" s="18" t="n">
        <v>1555555</v>
      </c>
      <c r="H446" s="12" t="n">
        <v>-230990</v>
      </c>
      <c r="I446" s="6" t="n"/>
      <c r="J446" s="6">
        <f>IF((B446*0.935 - F446*500) / (1.025*(1+$P$2/100)) &lt;= F446*500/0.15,ROUND(MAX(0, (B446*0.935 - F446*500) / (1.025*(1+$P$2/100))),0),ROUND(MAX(0, B446*0.935 / (1.175*(1+$P$2/100))),0))</f>
        <v/>
      </c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</row>
    <row r="447" ht="15.75" customHeight="1" s="46">
      <c r="A447" s="36" t="inlineStr">
        <is>
          <t>сумка (знаток)</t>
        </is>
      </c>
      <c r="B447" s="56" t="n">
        <v>4294</v>
      </c>
      <c r="C447" s="42" t="n">
        <v>0</v>
      </c>
      <c r="D447" s="18" t="n">
        <v>100</v>
      </c>
      <c r="E447" s="37" t="inlineStr">
        <is>
          <t>0.55</t>
        </is>
      </c>
      <c r="F447" s="12" t="n">
        <v>3.4</v>
      </c>
      <c r="G447" s="18" t="n">
        <v>3498</v>
      </c>
      <c r="H447" s="12" t="n">
        <v>796</v>
      </c>
      <c r="I447" s="6" t="n"/>
      <c r="J447" s="6">
        <f>IF((B447*0.935 - F447*500) / (1.025*(1+$P$2/100)) &lt;= F447*500/0.15,ROUND(MAX(0, (B447*0.935 - F447*500) / (1.025*(1+$P$2/100))),0),ROUND(MAX(0, B447*0.935 / (1.175*(1+$P$2/100))),0))</f>
        <v/>
      </c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</row>
    <row r="448" ht="15.75" customHeight="1" s="46">
      <c r="A448" s="38" t="inlineStr">
        <is>
          <t>сумка (эксперт)</t>
        </is>
      </c>
      <c r="B448" s="56" t="n">
        <v>15886</v>
      </c>
      <c r="C448" s="42" t="n">
        <v>0</v>
      </c>
      <c r="D448" s="18" t="n">
        <v>100</v>
      </c>
      <c r="E448" s="37" t="inlineStr">
        <is>
          <t>0.70</t>
        </is>
      </c>
      <c r="F448" s="12" t="n">
        <v>5.1</v>
      </c>
      <c r="G448" s="18" t="n">
        <v>10668</v>
      </c>
      <c r="H448" s="12" t="n">
        <v>5218</v>
      </c>
      <c r="I448" s="6" t="n"/>
      <c r="J448" s="6">
        <f>IF((B448*0.935 - F448*500) / (1.025*(1+$P$2/100)) &lt;= F448*500/0.15,ROUND(MAX(0, (B448*0.935 - F448*500) / (1.025*(1+$P$2/100))),0),ROUND(MAX(0, B448*0.935 / (1.175*(1+$P$2/100))),0))</f>
        <v/>
      </c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</row>
    <row r="449" ht="15.75" customHeight="1" s="46">
      <c r="A449" s="39" t="inlineStr">
        <is>
          <t>сумка (мастер)</t>
        </is>
      </c>
      <c r="B449" s="56" t="n">
        <v>51001</v>
      </c>
      <c r="C449" s="16" t="n">
        <v>0</v>
      </c>
      <c r="D449" s="18" t="n">
        <v>70</v>
      </c>
      <c r="E449" s="37" t="inlineStr">
        <is>
          <t>0.80</t>
        </is>
      </c>
      <c r="F449" s="12" t="n">
        <v>7.6</v>
      </c>
      <c r="G449" s="18" t="n">
        <v>43989</v>
      </c>
      <c r="H449" s="12" t="n">
        <v>7012</v>
      </c>
      <c r="I449" s="6" t="n"/>
      <c r="J449" s="6">
        <f>IF((B449*0.935 - F449*500) / (1.025*(1+$P$2/100)) &lt;= F449*500/0.15,ROUND(MAX(0, (B449*0.935 - F449*500) / (1.025*(1+$P$2/100))),0),ROUND(MAX(0, B449*0.935 / (1.175*(1+$P$2/100))),0))</f>
        <v/>
      </c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</row>
    <row r="450" ht="15.75" customHeight="1" s="46">
      <c r="A450" s="40" t="inlineStr">
        <is>
          <t>сумка (магистр)</t>
        </is>
      </c>
      <c r="B450" s="56" t="n">
        <v>135398</v>
      </c>
      <c r="C450" s="16" t="n">
        <v>0</v>
      </c>
      <c r="D450" s="18" t="n">
        <v>10</v>
      </c>
      <c r="E450" s="37" t="inlineStr">
        <is>
          <t>0.75</t>
        </is>
      </c>
      <c r="F450" s="12" t="n">
        <v>11.4</v>
      </c>
      <c r="G450" s="18" t="n">
        <v>124941</v>
      </c>
      <c r="H450" s="12" t="n">
        <v>10457</v>
      </c>
      <c r="I450" s="6" t="n"/>
      <c r="J450" s="6">
        <f>IF((B450*0.935 - F450*500) / (1.025*(1+$P$2/100)) &lt;= F450*500/0.15,ROUND(MAX(0, (B450*0.935 - F450*500) / (1.025*(1+$P$2/100))),0),ROUND(MAX(0, B450*0.935 / (1.175*(1+$P$2/100))),0))</f>
        <v/>
      </c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</row>
    <row r="451" ht="15.75" customHeight="1" s="46">
      <c r="A451" s="41" t="inlineStr">
        <is>
          <t>сумка (старейшина)</t>
        </is>
      </c>
      <c r="B451" s="56" t="n">
        <v>332987</v>
      </c>
      <c r="C451" s="16" t="n">
        <v>0</v>
      </c>
      <c r="D451" s="18" t="n">
        <v>5</v>
      </c>
      <c r="E451" s="37" t="inlineStr">
        <is>
          <t>0.75</t>
        </is>
      </c>
      <c r="F451" s="12" t="n">
        <v>17.1</v>
      </c>
      <c r="G451" s="18" t="n">
        <v>300989</v>
      </c>
      <c r="H451" s="12" t="n">
        <v>31998</v>
      </c>
      <c r="I451" s="6" t="n"/>
      <c r="J451" s="6">
        <f>IF((B451*0.935 - F451*500) / (1.025*(1+$P$2/100)) &lt;= F451*500/0.15,ROUND(MAX(0, (B451*0.935 - F451*500) / (1.025*(1+$P$2/100))),0),ROUND(MAX(0, B451*0.935 / (1.175*(1+$P$2/100))),0))</f>
        <v/>
      </c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</row>
    <row r="452" ht="15.75" customHeight="1" s="46">
      <c r="A452" s="36" t="inlineStr">
        <is>
          <t>плащ (знаток)</t>
        </is>
      </c>
      <c r="B452" s="57" t="n">
        <v>3069</v>
      </c>
      <c r="C452" s="16" t="n">
        <v>0</v>
      </c>
      <c r="D452" s="18" t="n">
        <v>100</v>
      </c>
      <c r="E452" s="37" t="inlineStr">
        <is>
          <t>0.55</t>
        </is>
      </c>
      <c r="F452" s="12" t="n">
        <v>1.7</v>
      </c>
      <c r="G452" s="18" t="n">
        <v>1999</v>
      </c>
      <c r="H452" s="12" t="n">
        <v>1070</v>
      </c>
      <c r="I452" s="6" t="n"/>
      <c r="J452" s="6">
        <f>IF((B452*0.935 - F452*500) / (1.025*(1+$P$2/100)) &lt;= F452*500/0.15,ROUND(MAX(0, (B452*0.935 - F452*500) / (1.025*(1+$P$2/100))),0),ROUND(MAX(0, B452*0.935 / (1.175*(1+$P$2/100))),0))</f>
        <v/>
      </c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</row>
    <row r="453" ht="15.75" customHeight="1" s="46">
      <c r="A453" s="38" t="inlineStr">
        <is>
          <t>плащ (эксперт)</t>
        </is>
      </c>
      <c r="B453" s="57" t="n">
        <v>7019</v>
      </c>
      <c r="C453" s="16" t="n">
        <v>0</v>
      </c>
      <c r="D453" s="18" t="n">
        <v>100</v>
      </c>
      <c r="E453" s="37" t="inlineStr">
        <is>
          <t>0.70</t>
        </is>
      </c>
      <c r="F453" s="12" t="n">
        <v>2.5</v>
      </c>
      <c r="G453" s="18" t="n">
        <v>4693</v>
      </c>
      <c r="H453" s="12" t="n">
        <v>2326</v>
      </c>
      <c r="I453" s="6" t="n"/>
      <c r="J453" s="6">
        <f>IF((B453*0.935 - F453*500) / (1.025*(1+$P$2/100)) &lt;= F453*500/0.15,ROUND(MAX(0, (B453*0.935 - F453*500) / (1.025*(1+$P$2/100))),0),ROUND(MAX(0, B453*0.935 / (1.175*(1+$P$2/100))),0))</f>
        <v/>
      </c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</row>
    <row r="454" ht="15.75" customHeight="1" s="46">
      <c r="A454" s="39" t="inlineStr">
        <is>
          <t>плащ (мастер)</t>
        </is>
      </c>
      <c r="B454" s="57" t="n">
        <v>26972</v>
      </c>
      <c r="C454" s="16" t="n">
        <v>0</v>
      </c>
      <c r="D454" s="18" t="n">
        <v>70</v>
      </c>
      <c r="E454" s="37" t="inlineStr">
        <is>
          <t>0.80</t>
        </is>
      </c>
      <c r="F454" s="12" t="n">
        <v>3.8</v>
      </c>
      <c r="G454" s="18" t="n">
        <v>23484</v>
      </c>
      <c r="H454" s="12" t="n">
        <v>3488</v>
      </c>
      <c r="I454" s="6" t="n"/>
      <c r="J454" s="6">
        <f>IF((B454*0.935 - F454*500) / (1.025*(1+$P$2/100)) &lt;= F454*500/0.15,ROUND(MAX(0, (B454*0.935 - F454*500) / (1.025*(1+$P$2/100))),0),ROUND(MAX(0, B454*0.935 / (1.175*(1+$P$2/100))),0))</f>
        <v/>
      </c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</row>
    <row r="455" ht="15.75" customHeight="1" s="46">
      <c r="A455" s="40" t="inlineStr">
        <is>
          <t>плащ (магистр)</t>
        </is>
      </c>
      <c r="B455" s="57" t="n">
        <v>73984</v>
      </c>
      <c r="C455" s="16" t="n">
        <v>0</v>
      </c>
      <c r="D455" s="18" t="n">
        <v>10</v>
      </c>
      <c r="E455" s="37" t="inlineStr">
        <is>
          <t>0.75</t>
        </is>
      </c>
      <c r="F455" s="12" t="n">
        <v>5.7</v>
      </c>
      <c r="G455" s="18" t="n">
        <v>59987</v>
      </c>
      <c r="H455" s="12" t="n">
        <v>13997</v>
      </c>
      <c r="I455" s="6" t="n"/>
      <c r="J455" s="6">
        <f>IF((B455*0.935 - F455*500) / (1.025*(1+$P$2/100)) &lt;= F455*500/0.15,ROUND(MAX(0, (B455*0.935 - F455*500) / (1.025*(1+$P$2/100))),0),ROUND(MAX(0, B455*0.935 / (1.175*(1+$P$2/100))),0))</f>
        <v/>
      </c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</row>
    <row r="456" ht="15.75" customHeight="1" s="46">
      <c r="A456" s="41" t="inlineStr">
        <is>
          <t>плащ (старейшина)</t>
        </is>
      </c>
      <c r="B456" s="57" t="n">
        <v>174995</v>
      </c>
      <c r="C456" s="16" t="n">
        <v>0</v>
      </c>
      <c r="D456" s="18" t="n">
        <v>5</v>
      </c>
      <c r="E456" s="37" t="inlineStr">
        <is>
          <t>0.75</t>
        </is>
      </c>
      <c r="F456" s="12" t="n">
        <v>8.5</v>
      </c>
      <c r="G456" s="18" t="n">
        <v>148787</v>
      </c>
      <c r="H456" s="12" t="n">
        <v>26208</v>
      </c>
      <c r="I456" s="6" t="n"/>
      <c r="J456" s="6">
        <f>IF((B456*0.935 - F456*500) / (1.025*(1+$P$2/100)) &lt;= F456*500/0.15,ROUND(MAX(0, (B456*0.935 - F456*500) / (1.025*(1+$P$2/100))),0),ROUND(MAX(0, B456*0.935 / (1.175*(1+$P$2/100))),0))</f>
        <v/>
      </c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</row>
    <row r="457" ht="12.75" customHeight="1" s="46">
      <c r="A457" s="18" t="inlineStr">
        <is>
          <t>кошель интуиции (знаток)</t>
        </is>
      </c>
      <c r="B457" s="48" t="n">
        <v>45981</v>
      </c>
      <c r="C457" s="16" t="n">
        <v>0</v>
      </c>
      <c r="D457" s="18" t="n">
        <v>100</v>
      </c>
      <c r="E457" s="37" t="inlineStr">
        <is>
          <t>0.55</t>
        </is>
      </c>
      <c r="F457" s="12" t="n">
        <v>3.4</v>
      </c>
      <c r="G457" s="18" t="n">
        <v>32979</v>
      </c>
      <c r="H457" s="12" t="n">
        <v>13002</v>
      </c>
      <c r="I457" s="6" t="n"/>
      <c r="J457" s="6">
        <f>IF((B457*0.935 - F457*500) / (1.025*(1+$P$2/100)) &lt;= F457*500/0.15,ROUND(MAX(0, (B457*0.935 - F457*500) / (1.025*(1+$P$2/100))),0),ROUND(MAX(0, B457*0.935 / (1.175*(1+$P$2/100))),0))</f>
        <v/>
      </c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</row>
    <row r="458" ht="12.75" customHeight="1" s="46">
      <c r="A458" s="18" t="inlineStr">
        <is>
          <t>кошель интуиции (эксперт)</t>
        </is>
      </c>
      <c r="B458" s="48" t="n">
        <v>50074</v>
      </c>
      <c r="C458" s="16" t="n">
        <v>0</v>
      </c>
      <c r="D458" s="18" t="n">
        <v>100</v>
      </c>
      <c r="E458" s="37" t="inlineStr">
        <is>
          <t>0.70</t>
        </is>
      </c>
      <c r="F458" s="12" t="n">
        <v>5.1</v>
      </c>
      <c r="G458" s="18" t="n">
        <v>40997</v>
      </c>
      <c r="H458" s="12" t="n">
        <v>9077</v>
      </c>
      <c r="I458" s="6" t="n"/>
      <c r="J458" s="6">
        <f>IF((B458*0.935 - F458*500) / (1.025*(1+$P$2/100)) &lt;= F458*500/0.15,ROUND(MAX(0, (B458*0.935 - F458*500) / (1.025*(1+$P$2/100))),0),ROUND(MAX(0, B458*0.935 / (1.175*(1+$P$2/100))),0))</f>
        <v/>
      </c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</row>
    <row r="459" ht="12.75" customHeight="1" s="46">
      <c r="A459" s="18" t="inlineStr">
        <is>
          <t>кошель интуиции (мастер)</t>
        </is>
      </c>
      <c r="B459" s="48" t="n">
        <v>87217</v>
      </c>
      <c r="C459" s="16" t="n">
        <v>0</v>
      </c>
      <c r="D459" s="18" t="n">
        <v>70</v>
      </c>
      <c r="E459" s="37" t="inlineStr">
        <is>
          <t>0.80</t>
        </is>
      </c>
      <c r="F459" s="12" t="n">
        <v>7.6</v>
      </c>
      <c r="G459" s="18" t="n">
        <v>62476</v>
      </c>
      <c r="H459" s="12" t="n">
        <v>24741</v>
      </c>
      <c r="I459" s="6" t="n"/>
      <c r="J459" s="6">
        <f>IF((B459*0.935 - F459*500) / (1.025*(1+$P$2/100)) &lt;= F459*500/0.15,ROUND(MAX(0, (B459*0.935 - F459*500) / (1.025*(1+$P$2/100))),0),ROUND(MAX(0, B459*0.935 / (1.175*(1+$P$2/100))),0))</f>
        <v/>
      </c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</row>
    <row r="460" ht="12.75" customHeight="1" s="46">
      <c r="A460" s="18" t="inlineStr">
        <is>
          <t>кошель интуиции (магистр)</t>
        </is>
      </c>
      <c r="B460" s="48" t="n">
        <v>182177</v>
      </c>
      <c r="C460" s="16" t="n">
        <v>0</v>
      </c>
      <c r="D460" s="18" t="n">
        <v>10</v>
      </c>
      <c r="E460" s="37" t="inlineStr">
        <is>
          <t>0.75</t>
        </is>
      </c>
      <c r="F460" s="12" t="n">
        <v>11.4</v>
      </c>
      <c r="G460" s="18" t="n">
        <v>141962</v>
      </c>
      <c r="H460" s="12" t="n">
        <v>40215</v>
      </c>
      <c r="I460" s="6" t="n"/>
      <c r="J460" s="6">
        <f>IF((B460*0.935 - F460*500) / (1.025*(1+$P$2/100)) &lt;= F460*500/0.15,ROUND(MAX(0, (B460*0.935 - F460*500) / (1.025*(1+$P$2/100))),0),ROUND(MAX(0, B460*0.935 / (1.175*(1+$P$2/100))),0))</f>
        <v/>
      </c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</row>
    <row r="461" ht="12.75" customHeight="1" s="46">
      <c r="A461" s="18" t="inlineStr">
        <is>
          <t>кошель интуиции (старейшина)</t>
        </is>
      </c>
      <c r="B461" s="48" t="n">
        <v>339839</v>
      </c>
      <c r="C461" s="16" t="n">
        <v>0</v>
      </c>
      <c r="D461" s="18" t="n">
        <v>5</v>
      </c>
      <c r="E461" s="37" t="inlineStr">
        <is>
          <t>0.75</t>
        </is>
      </c>
      <c r="F461" s="12" t="n">
        <v>17.1</v>
      </c>
      <c r="G461" s="18" t="n">
        <v>299994</v>
      </c>
      <c r="H461" s="12" t="n">
        <v>39845</v>
      </c>
      <c r="I461" s="6" t="n"/>
      <c r="J461" s="6">
        <f>IF((B461*0.935 - F461*500) / (1.025*(1+$P$2/100)) &lt;= F461*500/0.15,ROUND(MAX(0, (B461*0.935 - F461*500) / (1.025*(1+$P$2/100))),0),ROUND(MAX(0, B461*0.935 / (1.175*(1+$P$2/100))),0))</f>
        <v/>
      </c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</row>
    <row r="462" ht="12.75" customHeight="1" s="4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</row>
    <row r="463" ht="12.75" customHeight="1" s="4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</row>
    <row r="464" ht="12.75" customHeight="1" s="4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</row>
    <row r="465" ht="12.75" customHeight="1" s="4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</row>
    <row r="466" ht="12.75" customHeight="1" s="4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</row>
    <row r="467" ht="12.75" customHeight="1" s="4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</row>
    <row r="468" ht="12.75" customHeight="1" s="4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</row>
    <row r="469" ht="12.75" customHeight="1" s="4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</row>
    <row r="470" ht="12.75" customHeight="1" s="4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</row>
    <row r="471" ht="12.75" customHeight="1" s="4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</row>
    <row r="472" ht="12.75" customHeight="1" s="4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</row>
    <row r="473" ht="12.75" customHeight="1" s="4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</row>
    <row r="474" ht="12.75" customHeight="1" s="4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</row>
    <row r="475" ht="12.75" customHeight="1" s="4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</row>
    <row r="476" ht="12.75" customHeight="1" s="4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</row>
    <row r="477" ht="12.75" customHeight="1" s="4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</row>
    <row r="478" ht="12.75" customHeight="1" s="4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</row>
    <row r="479" ht="12.75" customHeight="1" s="4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</row>
    <row r="480" ht="12.75" customHeight="1" s="4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</row>
    <row r="481" ht="12.75" customHeight="1" s="4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</row>
    <row r="482" ht="12.75" customHeight="1" s="4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</row>
    <row r="483" ht="12.75" customHeight="1" s="4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</row>
    <row r="484" ht="12.75" customHeight="1" s="4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</row>
    <row r="485" ht="12.75" customHeight="1" s="4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</row>
    <row r="486" ht="12.75" customHeight="1" s="4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</row>
    <row r="487" ht="12.75" customHeight="1" s="4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</row>
    <row r="488" ht="12.75" customHeight="1" s="4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</row>
    <row r="489" ht="12.75" customHeight="1" s="4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</row>
    <row r="490" ht="12.75" customHeight="1" s="4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</row>
    <row r="491" ht="12.75" customHeight="1" s="4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</row>
    <row r="492" ht="15.75" customHeight="1" s="46">
      <c r="A492" s="6" t="n"/>
      <c r="B492" s="45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</row>
    <row r="493" ht="15.75" customHeight="1" s="46">
      <c r="A493" s="6" t="n"/>
      <c r="B493" s="45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</row>
    <row r="494" ht="15.75" customHeight="1" s="46">
      <c r="A494" s="6" t="n"/>
      <c r="B494" s="45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</row>
    <row r="495" ht="15.75" customHeight="1" s="46">
      <c r="A495" s="6" t="n"/>
      <c r="B495" s="45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</row>
    <row r="496" ht="15.75" customHeight="1" s="46">
      <c r="A496" s="6" t="n"/>
      <c r="B496" s="45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</row>
    <row r="497" ht="15.75" customHeight="1" s="46">
      <c r="A497" s="6" t="n"/>
      <c r="B497" s="45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</row>
    <row r="498" ht="15.75" customHeight="1" s="46">
      <c r="A498" s="6" t="n"/>
      <c r="B498" s="45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</row>
    <row r="499" ht="15.75" customHeight="1" s="46">
      <c r="A499" s="6" t="n"/>
      <c r="B499" s="45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</row>
    <row r="500" ht="15.75" customHeight="1" s="46">
      <c r="A500" s="6" t="n"/>
      <c r="B500" s="45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</row>
    <row r="501" ht="15.75" customHeight="1" s="46">
      <c r="A501" s="6" t="n"/>
      <c r="B501" s="45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</row>
    <row r="502" ht="15.75" customHeight="1" s="46">
      <c r="A502" s="6" t="n"/>
      <c r="B502" s="45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</row>
    <row r="503" ht="15.75" customHeight="1" s="46">
      <c r="A503" s="6" t="n"/>
      <c r="B503" s="45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</row>
    <row r="504" ht="15.75" customHeight="1" s="46">
      <c r="A504" s="6" t="n"/>
      <c r="B504" s="45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</row>
    <row r="505" ht="15.75" customHeight="1" s="46">
      <c r="A505" s="6" t="n"/>
      <c r="B505" s="45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</row>
    <row r="506" ht="15.75" customHeight="1" s="46">
      <c r="A506" s="6" t="n"/>
      <c r="B506" s="45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</row>
    <row r="507" ht="15.75" customHeight="1" s="4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</row>
    <row r="508" ht="15.75" customHeight="1" s="4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</row>
    <row r="509" ht="15.75" customHeight="1" s="4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</row>
    <row r="510" ht="15.75" customHeight="1" s="4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</row>
    <row r="511" ht="15.75" customHeight="1" s="4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</row>
    <row r="512" ht="15.75" customHeight="1" s="4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</row>
    <row r="513" ht="15.75" customHeight="1" s="4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</row>
    <row r="514" ht="15.75" customHeight="1" s="4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</row>
    <row r="515" ht="15.75" customHeight="1" s="4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</row>
    <row r="516" ht="15.75" customHeight="1" s="4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</row>
    <row r="517" ht="15.75" customHeight="1" s="4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</row>
    <row r="518" ht="15.75" customHeight="1" s="4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</row>
    <row r="519" ht="15.75" customHeight="1" s="4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</row>
    <row r="520" ht="15.75" customHeight="1" s="4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</row>
    <row r="521" ht="15.75" customHeight="1" s="4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</row>
    <row r="522" ht="15.75" customHeight="1" s="4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</row>
    <row r="523" ht="15.75" customHeight="1" s="4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</row>
    <row r="524" ht="15.75" customHeight="1" s="4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</row>
    <row r="525" ht="15.75" customHeight="1" s="4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</row>
    <row r="526" ht="15.75" customHeight="1" s="4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</row>
    <row r="527" ht="15.75" customHeight="1" s="4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</row>
    <row r="528" ht="15.75" customHeight="1" s="4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</row>
    <row r="529" ht="15.75" customHeight="1" s="4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</row>
    <row r="530" ht="15.75" customHeight="1" s="4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</row>
    <row r="531" ht="15.75" customHeight="1" s="4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</row>
    <row r="532" ht="15.75" customHeight="1" s="4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</row>
    <row r="533" ht="15.75" customHeight="1" s="4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</row>
    <row r="534" ht="15.75" customHeight="1" s="4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</row>
    <row r="535" ht="15.75" customHeight="1" s="4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</row>
    <row r="536" ht="15.75" customHeight="1" s="4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</row>
    <row r="537" ht="15.75" customHeight="1" s="4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</row>
    <row r="538" ht="15.75" customHeight="1" s="4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</row>
    <row r="539" ht="15.75" customHeight="1" s="4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</row>
    <row r="540" ht="15.75" customHeight="1" s="4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</row>
    <row r="541" ht="15.75" customHeight="1" s="4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</row>
    <row r="542" ht="15.75" customHeight="1" s="4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</row>
    <row r="543" ht="15.75" customHeight="1" s="4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</row>
    <row r="544" ht="15.75" customHeight="1" s="4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</row>
    <row r="545" ht="15.75" customHeight="1" s="4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</row>
    <row r="546" ht="15.75" customHeight="1" s="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</row>
    <row r="547" ht="15.75" customHeight="1" s="4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</row>
    <row r="548" ht="15.75" customHeight="1" s="4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</row>
    <row r="549" ht="15.75" customHeight="1" s="4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</row>
    <row r="550" ht="15.75" customHeight="1" s="4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</row>
    <row r="551" ht="15.75" customHeight="1" s="4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</row>
    <row r="552" ht="15.75" customHeight="1" s="4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</row>
    <row r="553" ht="15.75" customHeight="1" s="4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</row>
    <row r="554" ht="15.75" customHeight="1" s="4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</row>
    <row r="555" ht="15.75" customHeight="1" s="4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</row>
    <row r="556" ht="15.75" customHeight="1" s="4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</row>
    <row r="557" ht="15.75" customHeight="1" s="4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</row>
    <row r="558" ht="15.75" customHeight="1" s="4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</row>
    <row r="559" ht="15.75" customHeight="1" s="4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</row>
    <row r="560" ht="15.75" customHeight="1" s="4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</row>
    <row r="561" ht="15.75" customHeight="1" s="4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</row>
    <row r="562" ht="15.75" customHeight="1" s="4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</row>
    <row r="563" ht="15.75" customHeight="1" s="4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</row>
    <row r="564" ht="15.75" customHeight="1" s="4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</row>
    <row r="565" ht="15.75" customHeight="1" s="4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</row>
    <row r="566" ht="15.75" customHeight="1" s="4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</row>
    <row r="567" ht="15.75" customHeight="1" s="4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</row>
    <row r="568" ht="15.75" customHeight="1" s="4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</row>
    <row r="569" ht="15.75" customHeight="1" s="4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</row>
    <row r="570" ht="15.75" customHeight="1" s="4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</row>
    <row r="571" ht="15.75" customHeight="1" s="4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</row>
    <row r="572" ht="15.75" customHeight="1" s="4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</row>
    <row r="573" ht="15.75" customHeight="1" s="4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</row>
    <row r="574" ht="15.75" customHeight="1" s="4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</row>
    <row r="575" ht="15.75" customHeight="1" s="4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</row>
    <row r="576" ht="15.75" customHeight="1" s="4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</row>
    <row r="577" ht="15.75" customHeight="1" s="4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</row>
    <row r="578" ht="15.75" customHeight="1" s="4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</row>
    <row r="579" ht="15.75" customHeight="1" s="4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</row>
    <row r="580" ht="15.75" customHeight="1" s="4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</row>
    <row r="581" ht="15.75" customHeight="1" s="4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</row>
    <row r="582" ht="15.75" customHeight="1" s="4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</row>
    <row r="583" ht="15.75" customHeight="1" s="4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</row>
    <row r="584" ht="15.75" customHeight="1" s="4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</row>
    <row r="585" ht="15.75" customHeight="1" s="4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</row>
    <row r="586" ht="15.75" customHeight="1" s="4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</row>
    <row r="587" ht="15.75" customHeight="1" s="4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</row>
    <row r="588" ht="15.75" customHeight="1" s="4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</row>
    <row r="589" ht="15.75" customHeight="1" s="4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</row>
    <row r="590" ht="15.75" customHeight="1" s="4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</row>
    <row r="591" ht="15.75" customHeight="1" s="4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</row>
    <row r="592" ht="15.75" customHeight="1" s="4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</row>
    <row r="593" ht="15.75" customHeight="1" s="4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</row>
    <row r="594" ht="15.75" customHeight="1" s="4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</row>
    <row r="595" ht="15.75" customHeight="1" s="4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</row>
    <row r="596" ht="15.75" customHeight="1" s="4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</row>
    <row r="597" ht="15.75" customHeight="1" s="4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</row>
    <row r="598" ht="15.75" customHeight="1" s="4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</row>
    <row r="599" ht="15.75" customHeight="1" s="4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</row>
    <row r="600" ht="15.75" customHeight="1" s="4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</row>
    <row r="601" ht="15.75" customHeight="1" s="4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</row>
    <row r="602" ht="15.75" customHeight="1" s="4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</row>
    <row r="603" ht="15.75" customHeight="1" s="4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</row>
    <row r="604" ht="15.75" customHeight="1" s="4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</row>
    <row r="605" ht="15.75" customHeight="1" s="4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</row>
    <row r="606" ht="15.75" customHeight="1" s="4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</row>
    <row r="607" ht="15.75" customHeight="1" s="4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</row>
    <row r="608" ht="15.75" customHeight="1" s="4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</row>
    <row r="609" ht="15.75" customHeight="1" s="4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</row>
    <row r="610" ht="15.75" customHeight="1" s="4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</row>
    <row r="611" ht="15.75" customHeight="1" s="4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</row>
    <row r="612" ht="15.75" customHeight="1" s="4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</row>
    <row r="613" ht="15.75" customHeight="1" s="4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</row>
    <row r="614" ht="15.75" customHeight="1" s="4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</row>
    <row r="615" ht="15.75" customHeight="1" s="4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</row>
    <row r="616" ht="15.75" customHeight="1" s="4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</row>
    <row r="617" ht="15.75" customHeight="1" s="4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</row>
    <row r="618" ht="15.75" customHeight="1" s="4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</row>
    <row r="619" ht="15.75" customHeight="1" s="4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</row>
    <row r="620" ht="15.75" customHeight="1" s="4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</row>
    <row r="621" ht="15.75" customHeight="1" s="4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</row>
    <row r="622" ht="15.75" customHeight="1" s="4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</row>
    <row r="623" ht="15.75" customHeight="1" s="4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</row>
    <row r="624" ht="15.75" customHeight="1" s="4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</row>
    <row r="625" ht="15.75" customHeight="1" s="4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</row>
    <row r="626" ht="15.75" customHeight="1" s="4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</row>
    <row r="627" ht="15.75" customHeight="1" s="4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</row>
    <row r="628" ht="15.75" customHeight="1" s="4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</row>
    <row r="629" ht="15.75" customHeight="1" s="4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</row>
    <row r="630" ht="15.75" customHeight="1" s="4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</row>
    <row r="631" ht="15.75" customHeight="1" s="4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</row>
    <row r="632" ht="15.75" customHeight="1" s="4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</row>
    <row r="633" ht="15.75" customHeight="1" s="4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</row>
    <row r="634" ht="15.75" customHeight="1" s="4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</row>
    <row r="635" ht="15.75" customHeight="1" s="4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</row>
    <row r="636" ht="15.75" customHeight="1" s="4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</row>
    <row r="637" ht="15.75" customHeight="1" s="4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</row>
    <row r="638" ht="15.75" customHeight="1" s="4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</row>
    <row r="639" ht="15.75" customHeight="1" s="4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</row>
    <row r="640" ht="15.75" customHeight="1" s="4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</row>
    <row r="641" ht="15.75" customHeight="1" s="4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</row>
    <row r="642" ht="15.75" customHeight="1" s="4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</row>
    <row r="643" ht="15.75" customHeight="1" s="4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</row>
    <row r="644" ht="15.75" customHeight="1" s="4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</row>
    <row r="645" ht="15.75" customHeight="1" s="4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</row>
    <row r="646" ht="15.75" customHeight="1" s="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</row>
    <row r="647" ht="15.75" customHeight="1" s="4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</row>
    <row r="648" ht="15.75" customHeight="1" s="4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</row>
    <row r="649" ht="15.75" customHeight="1" s="4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</row>
    <row r="650" ht="15.75" customHeight="1" s="4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</row>
    <row r="651" ht="15.75" customHeight="1" s="4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</row>
    <row r="652" ht="15.75" customHeight="1" s="4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</row>
    <row r="653" ht="15.75" customHeight="1" s="4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</row>
    <row r="654" ht="15.75" customHeight="1" s="4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</row>
    <row r="655" ht="15.75" customHeight="1" s="4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</row>
    <row r="656" ht="15.75" customHeight="1" s="4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</row>
    <row r="657" ht="15.75" customHeight="1" s="4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</row>
    <row r="658" ht="15.75" customHeight="1" s="4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</row>
    <row r="659" ht="15.75" customHeight="1" s="4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</row>
    <row r="660" ht="15.75" customHeight="1" s="4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</row>
    <row r="661" ht="15.75" customHeight="1" s="4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</row>
    <row r="662" ht="15.75" customHeight="1" s="4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</row>
    <row r="663" ht="15.75" customHeight="1" s="4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</row>
    <row r="664" ht="15.75" customHeight="1" s="4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</row>
    <row r="665" ht="15.75" customHeight="1" s="4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</row>
    <row r="666" ht="15.75" customHeight="1" s="4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</row>
    <row r="667" ht="15.75" customHeight="1" s="4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</row>
    <row r="668" ht="15.75" customHeight="1" s="4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</row>
    <row r="669" ht="15.75" customHeight="1" s="4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</row>
    <row r="670" ht="15.75" customHeight="1" s="4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</row>
    <row r="671" ht="15.75" customHeight="1" s="4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</row>
    <row r="672" ht="15.75" customHeight="1" s="4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</row>
    <row r="673" ht="15.75" customHeight="1" s="4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</row>
    <row r="674" ht="15.75" customHeight="1" s="4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</row>
    <row r="675" ht="15.75" customHeight="1" s="4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</row>
    <row r="676" ht="15.75" customHeight="1" s="4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</row>
    <row r="677" ht="15.75" customHeight="1" s="4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</row>
    <row r="678" ht="15.75" customHeight="1" s="4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</row>
    <row r="679" ht="15.75" customHeight="1" s="4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</row>
    <row r="680" ht="15.75" customHeight="1" s="4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</row>
    <row r="681" ht="15.75" customHeight="1" s="4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</row>
    <row r="682" ht="15.75" customHeight="1" s="4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</row>
    <row r="683" ht="15.75" customHeight="1" s="4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</row>
    <row r="684" ht="15.75" customHeight="1" s="4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</row>
    <row r="685" ht="15.75" customHeight="1" s="4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</row>
    <row r="686" ht="15.75" customHeight="1" s="4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</row>
    <row r="687" ht="15.75" customHeight="1" s="4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</row>
    <row r="688" ht="15.75" customHeight="1" s="4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</row>
    <row r="689" ht="15.75" customHeight="1" s="4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</row>
    <row r="690" ht="15.75" customHeight="1" s="4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</row>
    <row r="691" ht="15.75" customHeight="1" s="4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</row>
    <row r="692" ht="15.75" customHeight="1" s="4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</row>
    <row r="693" ht="15.75" customHeight="1" s="4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</row>
    <row r="694" ht="15.75" customHeight="1" s="4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</row>
    <row r="695" ht="15.75" customHeight="1" s="4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</row>
    <row r="696" ht="15.75" customHeight="1" s="4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</row>
    <row r="697" ht="15.75" customHeight="1" s="4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</row>
    <row r="698" ht="15.75" customHeight="1" s="4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</row>
    <row r="699" ht="15.75" customHeight="1" s="4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</row>
    <row r="700" ht="15.75" customHeight="1" s="4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</row>
    <row r="701" ht="15.75" customHeight="1" s="4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</row>
    <row r="702" ht="15.75" customHeight="1" s="4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</row>
    <row r="703" ht="15.75" customHeight="1" s="4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</row>
    <row r="704" ht="15.75" customHeight="1" s="4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</row>
    <row r="705" ht="15.75" customHeight="1" s="4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</row>
    <row r="706" ht="15.75" customHeight="1" s="4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</row>
    <row r="707" ht="15.75" customHeight="1" s="4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</row>
    <row r="708" ht="15.75" customHeight="1" s="4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</row>
    <row r="709" ht="15.75" customHeight="1" s="4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</row>
    <row r="710" ht="15.75" customHeight="1" s="4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</row>
    <row r="711" ht="15.75" customHeight="1" s="4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</row>
    <row r="712" ht="15.75" customHeight="1" s="4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</row>
    <row r="713" ht="15.75" customHeight="1" s="4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</row>
    <row r="714" ht="15.75" customHeight="1" s="4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</row>
    <row r="715" ht="15.75" customHeight="1" s="4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</row>
    <row r="716" ht="15.75" customHeight="1" s="4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</row>
    <row r="717" ht="15.75" customHeight="1" s="4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</row>
    <row r="718" ht="15.75" customHeight="1" s="4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</row>
    <row r="719" ht="15.75" customHeight="1" s="4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</row>
    <row r="720" ht="15.75" customHeight="1" s="4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</row>
    <row r="721" ht="15.75" customHeight="1" s="4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</row>
    <row r="722" ht="15.75" customHeight="1" s="4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</row>
    <row r="723" ht="15.75" customHeight="1" s="4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</row>
    <row r="724" ht="15.75" customHeight="1" s="4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</row>
    <row r="725" ht="15.75" customHeight="1" s="4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</row>
    <row r="726" ht="15.75" customHeight="1" s="4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</row>
    <row r="727" ht="15.75" customHeight="1" s="4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</row>
    <row r="728" ht="15.75" customHeight="1" s="4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</row>
    <row r="729" ht="15.75" customHeight="1" s="4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</row>
    <row r="730" ht="15.75" customHeight="1" s="4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</row>
    <row r="731" ht="15.75" customHeight="1" s="4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</row>
    <row r="732" ht="15.75" customHeight="1" s="4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</row>
    <row r="733" ht="15.75" customHeight="1" s="4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</row>
    <row r="734" ht="15.75" customHeight="1" s="4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</row>
    <row r="735" ht="15.75" customHeight="1" s="4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</row>
    <row r="736" ht="15.75" customHeight="1" s="4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</row>
    <row r="737" ht="15.75" customHeight="1" s="4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</row>
    <row r="738" ht="15.75" customHeight="1" s="4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</row>
    <row r="739" ht="15.75" customHeight="1" s="4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</row>
    <row r="740" ht="15.75" customHeight="1" s="4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</row>
    <row r="741" ht="15.75" customHeight="1" s="4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</row>
    <row r="742" ht="15.75" customHeight="1" s="4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</row>
    <row r="743" ht="15.75" customHeight="1" s="4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</row>
    <row r="744" ht="15.75" customHeight="1" s="4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</row>
    <row r="745" ht="15.75" customHeight="1" s="4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</row>
    <row r="746" ht="15.75" customHeight="1" s="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</row>
    <row r="747" ht="15.75" customHeight="1" s="4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</row>
    <row r="748" ht="15.75" customHeight="1" s="4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</row>
    <row r="749" ht="15.75" customHeight="1" s="4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</row>
    <row r="750" ht="15.75" customHeight="1" s="4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</row>
    <row r="751" ht="15.75" customHeight="1" s="4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</row>
    <row r="752" ht="15.75" customHeight="1" s="4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</row>
    <row r="753" ht="15.75" customHeight="1" s="4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</row>
    <row r="754" ht="15.75" customHeight="1" s="4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</row>
    <row r="755" ht="15.75" customHeight="1" s="4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</row>
    <row r="756" ht="15.75" customHeight="1" s="4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</row>
    <row r="757" ht="15.75" customHeight="1" s="4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</row>
    <row r="758" ht="15.75" customHeight="1" s="4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</row>
    <row r="759" ht="15.75" customHeight="1" s="4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</row>
    <row r="760" ht="15.75" customHeight="1" s="4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</row>
    <row r="761" ht="15.75" customHeight="1" s="4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</row>
    <row r="762" ht="15.75" customHeight="1" s="4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</row>
    <row r="763" ht="15.75" customHeight="1" s="4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</row>
    <row r="764" ht="15.75" customHeight="1" s="4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</row>
    <row r="765" ht="15.75" customHeight="1" s="4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</row>
    <row r="766" ht="15.75" customHeight="1" s="4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</row>
    <row r="767" ht="15.75" customHeight="1" s="4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</row>
    <row r="768" ht="15.75" customHeight="1" s="4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</row>
    <row r="769" ht="15.75" customHeight="1" s="4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</row>
    <row r="770" ht="15.75" customHeight="1" s="4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</row>
    <row r="771" ht="15.75" customHeight="1" s="4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</row>
    <row r="772" ht="15.75" customHeight="1" s="4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</row>
    <row r="773" ht="15.75" customHeight="1" s="4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</row>
    <row r="774" ht="15.75" customHeight="1" s="4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</row>
    <row r="775" ht="15.75" customHeight="1" s="4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</row>
    <row r="776" ht="15.75" customHeight="1" s="4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</row>
    <row r="777" ht="15.75" customHeight="1" s="4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</row>
    <row r="778" ht="15.75" customHeight="1" s="4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</row>
    <row r="779" ht="15.75" customHeight="1" s="4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</row>
    <row r="780" ht="15.75" customHeight="1" s="4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</row>
    <row r="781" ht="15.75" customHeight="1" s="4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</row>
    <row r="782" ht="15.75" customHeight="1" s="4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</row>
    <row r="783" ht="15.75" customHeight="1" s="4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</row>
    <row r="784" ht="15.75" customHeight="1" s="4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</row>
    <row r="785" ht="15.75" customHeight="1" s="4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</row>
    <row r="786" ht="15.75" customHeight="1" s="4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</row>
    <row r="787" ht="15.75" customHeight="1" s="4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</row>
    <row r="788" ht="15.75" customHeight="1" s="4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</row>
    <row r="789" ht="15.75" customHeight="1" s="4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</row>
    <row r="790" ht="15.75" customHeight="1" s="4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</row>
    <row r="791" ht="15.75" customHeight="1" s="4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</row>
    <row r="792" ht="15.75" customHeight="1" s="4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</row>
    <row r="793" ht="15.75" customHeight="1" s="4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</row>
    <row r="794" ht="15.75" customHeight="1" s="4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</row>
    <row r="795" ht="15.75" customHeight="1" s="4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</row>
    <row r="796" ht="15.75" customHeight="1" s="4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</row>
    <row r="797" ht="15.75" customHeight="1" s="4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</row>
    <row r="798" ht="15.75" customHeight="1" s="4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</row>
    <row r="799" ht="15.75" customHeight="1" s="4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</row>
    <row r="800" ht="15.75" customHeight="1" s="4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</row>
    <row r="801" ht="15.75" customHeight="1" s="4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</row>
    <row r="802" ht="15.75" customHeight="1" s="4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</row>
    <row r="803" ht="15.75" customHeight="1" s="4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</row>
    <row r="804" ht="15.75" customHeight="1" s="4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</row>
    <row r="805" ht="15.75" customHeight="1" s="4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</row>
    <row r="806" ht="15.75" customHeight="1" s="4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</row>
    <row r="807" ht="15.75" customHeight="1" s="4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</row>
    <row r="808" ht="15.75" customHeight="1" s="4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</row>
    <row r="809" ht="15.75" customHeight="1" s="4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</row>
    <row r="810" ht="15.75" customHeight="1" s="4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</row>
    <row r="811" ht="15.75" customHeight="1" s="4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</row>
    <row r="812" ht="15.75" customHeight="1" s="4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</row>
    <row r="813" ht="15.75" customHeight="1" s="4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</row>
    <row r="814" ht="15.75" customHeight="1" s="4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</row>
    <row r="815" ht="15.75" customHeight="1" s="4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</row>
    <row r="816" ht="15.75" customHeight="1" s="4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</row>
    <row r="817" ht="15.75" customHeight="1" s="4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</row>
    <row r="818" ht="15.75" customHeight="1" s="4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</row>
    <row r="819" ht="15.75" customHeight="1" s="4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</row>
    <row r="820" ht="15.75" customHeight="1" s="4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</row>
    <row r="821" ht="15.75" customHeight="1" s="4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</row>
    <row r="822" ht="15.75" customHeight="1" s="4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</row>
    <row r="823" ht="15.75" customHeight="1" s="4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</row>
    <row r="824" ht="15.75" customHeight="1" s="4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</row>
    <row r="825" ht="15.75" customHeight="1" s="4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</row>
    <row r="826" ht="15.75" customHeight="1" s="4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</row>
    <row r="827" ht="15.75" customHeight="1" s="4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</row>
    <row r="828" ht="15.75" customHeight="1" s="4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</row>
    <row r="829" ht="15.75" customHeight="1" s="4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</row>
    <row r="830" ht="15.75" customHeight="1" s="4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</row>
    <row r="831" ht="15.75" customHeight="1" s="4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</row>
    <row r="832" ht="15.75" customHeight="1" s="4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</row>
    <row r="833" ht="15.75" customHeight="1" s="4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</row>
    <row r="834" ht="15.75" customHeight="1" s="4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</row>
    <row r="835" ht="15.75" customHeight="1" s="4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</row>
    <row r="836" ht="15.75" customHeight="1" s="4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</row>
    <row r="837" ht="15.75" customHeight="1" s="4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</row>
    <row r="838" ht="15.75" customHeight="1" s="4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</row>
    <row r="839" ht="15.75" customHeight="1" s="4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</row>
    <row r="840" ht="15.75" customHeight="1" s="4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</row>
    <row r="841" ht="15.75" customHeight="1" s="4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</row>
    <row r="842" ht="15.75" customHeight="1" s="4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</row>
    <row r="843" ht="15.75" customHeight="1" s="4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</row>
    <row r="844" ht="15.75" customHeight="1" s="4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</row>
    <row r="845" ht="15.75" customHeight="1" s="4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</row>
    <row r="846" ht="15.75" customHeight="1" s="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</row>
    <row r="847" ht="15.75" customHeight="1" s="4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</row>
    <row r="848" ht="15.75" customHeight="1" s="4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</row>
    <row r="849" ht="15.75" customHeight="1" s="4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</row>
    <row r="850" ht="15.75" customHeight="1" s="4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</row>
    <row r="851" ht="15.75" customHeight="1" s="4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</row>
    <row r="852" ht="15.75" customHeight="1" s="4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</row>
    <row r="853" ht="15.75" customHeight="1" s="4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</row>
    <row r="854" ht="15.75" customHeight="1" s="4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</row>
    <row r="855" ht="15.75" customHeight="1" s="4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</row>
    <row r="856" ht="15.75" customHeight="1" s="4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</row>
    <row r="857" ht="15.75" customHeight="1" s="4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</row>
    <row r="858" ht="15.75" customHeight="1" s="4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</row>
    <row r="859" ht="15.75" customHeight="1" s="4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</row>
    <row r="860" ht="15.75" customHeight="1" s="4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</row>
    <row r="861" ht="15.75" customHeight="1" s="4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</row>
    <row r="862" ht="15.75" customHeight="1" s="4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</row>
    <row r="863" ht="15.75" customHeight="1" s="4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</row>
    <row r="864" ht="15.75" customHeight="1" s="4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</row>
    <row r="865" ht="15.75" customHeight="1" s="4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</row>
    <row r="866" ht="15.75" customHeight="1" s="4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</row>
    <row r="867" ht="15.75" customHeight="1" s="4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</row>
    <row r="868" ht="15.75" customHeight="1" s="4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</row>
    <row r="869" ht="15.75" customHeight="1" s="4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</row>
    <row r="870" ht="15.75" customHeight="1" s="4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</row>
    <row r="871" ht="15.75" customHeight="1" s="4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</row>
    <row r="872" ht="15.75" customHeight="1" s="4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</row>
    <row r="873" ht="15.75" customHeight="1" s="4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</row>
    <row r="874" ht="15.75" customHeight="1" s="4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</row>
    <row r="875" ht="15.75" customHeight="1" s="4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</row>
    <row r="876" ht="15.75" customHeight="1" s="4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</row>
    <row r="877" ht="15.75" customHeight="1" s="4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</row>
    <row r="878" ht="15.75" customHeight="1" s="4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</row>
    <row r="879" ht="15.75" customHeight="1" s="4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</row>
    <row r="880" ht="15.75" customHeight="1" s="4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</row>
    <row r="881" ht="15.75" customHeight="1" s="4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</row>
    <row r="882" ht="15.75" customHeight="1" s="4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</row>
    <row r="883" ht="15.75" customHeight="1" s="4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</row>
    <row r="884" ht="15.75" customHeight="1" s="4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</row>
    <row r="885" ht="15.75" customHeight="1" s="4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</row>
    <row r="886" ht="15.75" customHeight="1" s="4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</row>
    <row r="887" ht="15.75" customHeight="1" s="4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</row>
    <row r="888" ht="15.75" customHeight="1" s="4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</row>
    <row r="889" ht="15.75" customHeight="1" s="4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</row>
    <row r="890" ht="15.75" customHeight="1" s="4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</row>
    <row r="891" ht="15.75" customHeight="1" s="4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</row>
    <row r="892" ht="15.75" customHeight="1" s="4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</row>
    <row r="893" ht="15.75" customHeight="1" s="4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</row>
    <row r="894" ht="15.75" customHeight="1" s="4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</row>
    <row r="895" ht="15.75" customHeight="1" s="4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</row>
    <row r="896" ht="15.75" customHeight="1" s="4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</row>
    <row r="897" ht="15.75" customHeight="1" s="4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</row>
    <row r="898" ht="15.75" customHeight="1" s="4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</row>
    <row r="899" ht="15.75" customHeight="1" s="4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</row>
    <row r="900" ht="15.75" customHeight="1" s="4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</row>
    <row r="901" ht="15.75" customHeight="1" s="4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</row>
    <row r="902" ht="15.75" customHeight="1" s="4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</row>
    <row r="903" ht="15.75" customHeight="1" s="4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</row>
    <row r="904" ht="15.75" customHeight="1" s="4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</row>
    <row r="905" ht="15.75" customHeight="1" s="4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</row>
    <row r="906" ht="15.75" customHeight="1" s="4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</row>
    <row r="907" ht="15.75" customHeight="1" s="4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</row>
    <row r="908" ht="15.75" customHeight="1" s="4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</row>
    <row r="909" ht="15.75" customHeight="1" s="4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</row>
    <row r="910" ht="15.75" customHeight="1" s="4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</row>
    <row r="911" ht="15.75" customHeight="1" s="4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</row>
    <row r="912" ht="15.75" customHeight="1" s="4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</row>
    <row r="913" ht="15.75" customHeight="1" s="4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</row>
    <row r="914" ht="15.75" customHeight="1" s="4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</row>
    <row r="915" ht="15.75" customHeight="1" s="4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</row>
    <row r="916" ht="15.75" customHeight="1" s="4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</row>
    <row r="917" ht="15.75" customHeight="1" s="4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</row>
    <row r="918" ht="15.75" customHeight="1" s="4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</row>
    <row r="919" ht="15.75" customHeight="1" s="4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</row>
    <row r="920" ht="15.75" customHeight="1" s="4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</row>
    <row r="921" ht="15.75" customHeight="1" s="4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</row>
    <row r="922" ht="15.75" customHeight="1" s="4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</row>
    <row r="923" ht="15.75" customHeight="1" s="4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</row>
    <row r="924" ht="15.75" customHeight="1" s="4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</row>
    <row r="925" ht="15.75" customHeight="1" s="4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</row>
    <row r="926" ht="15.75" customHeight="1" s="4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</row>
    <row r="927" ht="15.75" customHeight="1" s="4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</row>
    <row r="928" ht="15.75" customHeight="1" s="4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</row>
    <row r="929" ht="15.75" customHeight="1" s="4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</row>
    <row r="930" ht="15.75" customHeight="1" s="4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</row>
    <row r="931" ht="15.75" customHeight="1" s="4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</row>
    <row r="932" ht="15.75" customHeight="1" s="4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</row>
    <row r="933" ht="15.75" customHeight="1" s="4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</row>
    <row r="934" ht="15.75" customHeight="1" s="4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</row>
    <row r="935" ht="15.75" customHeight="1" s="4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</row>
    <row r="936" ht="15.75" customHeight="1" s="4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</row>
    <row r="937" ht="15.75" customHeight="1" s="4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</row>
    <row r="938" ht="15.75" customHeight="1" s="4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</row>
    <row r="939" ht="15.75" customHeight="1" s="4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</row>
    <row r="940" ht="15.75" customHeight="1" s="4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</row>
    <row r="941" ht="15.75" customHeight="1" s="4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</row>
    <row r="942" ht="15.75" customHeight="1" s="4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</row>
    <row r="943" ht="15.75" customHeight="1" s="4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</row>
    <row r="944" ht="15.75" customHeight="1" s="4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</row>
    <row r="945" ht="15.75" customHeight="1" s="4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</row>
    <row r="946" ht="15.75" customHeight="1" s="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</row>
    <row r="947" ht="15.75" customHeight="1" s="4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</row>
    <row r="948" ht="15.75" customHeight="1" s="4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</row>
    <row r="949" ht="15.75" customHeight="1" s="4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</row>
    <row r="950" ht="15.75" customHeight="1" s="4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</row>
    <row r="951" ht="15.75" customHeight="1" s="4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</row>
    <row r="952" ht="15.75" customHeight="1" s="4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</row>
    <row r="953" ht="15.75" customHeight="1" s="4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</row>
    <row r="954" ht="15.75" customHeight="1" s="4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</row>
    <row r="955" ht="15.75" customHeight="1" s="4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</row>
    <row r="956" ht="15.75" customHeight="1" s="4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</row>
    <row r="957" ht="15.75" customHeight="1" s="4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</row>
    <row r="958" ht="15.75" customHeight="1" s="4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</row>
    <row r="959" ht="15.75" customHeight="1" s="4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</row>
    <row r="960" ht="15.75" customHeight="1" s="4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</row>
    <row r="961" ht="15.75" customHeight="1" s="4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</row>
    <row r="962" ht="15.75" customHeight="1" s="4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</row>
    <row r="963" ht="15.75" customHeight="1" s="4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</row>
    <row r="964" ht="15.75" customHeight="1" s="4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</row>
    <row r="965" ht="15.75" customHeight="1" s="4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</row>
    <row r="966" ht="15.75" customHeight="1" s="4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</row>
    <row r="967" ht="15.75" customHeight="1" s="4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</row>
    <row r="968" ht="15.75" customHeight="1" s="4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</row>
    <row r="969" ht="15.75" customHeight="1" s="4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</row>
    <row r="970" ht="15.75" customHeight="1" s="4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</row>
    <row r="971" ht="15.75" customHeight="1" s="4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</row>
    <row r="972" ht="15.75" customHeight="1" s="4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</row>
    <row r="973" ht="15.75" customHeight="1" s="4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</row>
    <row r="974" ht="15.75" customHeight="1" s="4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</row>
    <row r="975" ht="15.75" customHeight="1" s="4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</row>
    <row r="976" ht="15.75" customHeight="1" s="4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</row>
    <row r="977" ht="15.75" customHeight="1" s="4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</row>
    <row r="978" ht="15.75" customHeight="1" s="4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</row>
    <row r="979" ht="15.75" customHeight="1" s="4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</row>
    <row r="980" ht="15.75" customHeight="1" s="4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</row>
    <row r="981" ht="15.75" customHeight="1" s="4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</row>
    <row r="982" ht="15.75" customHeight="1" s="4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</row>
    <row r="983" ht="15.75" customHeight="1" s="4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</row>
    <row r="984" ht="15.75" customHeight="1" s="4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</row>
    <row r="985" ht="15.75" customHeight="1" s="4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</row>
    <row r="986" ht="15.75" customHeight="1" s="4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</row>
    <row r="987" ht="15.75" customHeight="1" s="4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</row>
    <row r="988" ht="15.75" customHeight="1" s="4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</row>
    <row r="989" ht="15.75" customHeight="1" s="4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</row>
    <row r="990" ht="15.75" customHeight="1" s="4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</row>
    <row r="991" ht="15.75" customHeight="1" s="4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</row>
    <row r="992" ht="15.75" customHeight="1" s="4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</row>
    <row r="993" ht="15.75" customHeight="1" s="4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</row>
    <row r="994" ht="15.75" customHeight="1" s="4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</row>
    <row r="995" ht="15.75" customHeight="1" s="4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</row>
    <row r="996" ht="15.75" customHeight="1" s="4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</row>
    <row r="997" ht="15.75" customHeight="1" s="4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</row>
    <row r="998" ht="15.75" customHeight="1" s="4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</row>
    <row r="999" ht="15.75" customHeight="1" s="4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</row>
    <row r="1000" ht="15.75" customHeight="1" s="4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</row>
    <row r="1001" ht="15.75" customHeight="1" s="46">
      <c r="B1001" s="44" t="n"/>
      <c r="C1001" s="6" t="n"/>
      <c r="D1001" s="6" t="n"/>
      <c r="E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6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</row>
    <row r="1002" ht="15.75" customHeight="1" s="46">
      <c r="B1002" s="44" t="n"/>
      <c r="C1002" s="6" t="n"/>
      <c r="D1002" s="6" t="n"/>
      <c r="E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6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</row>
    <row r="1003" ht="15.75" customHeight="1" s="46">
      <c r="B1003" s="44" t="n"/>
      <c r="C1003" s="6" t="n"/>
      <c r="D1003" s="6" t="n"/>
      <c r="E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6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</row>
    <row r="1004" ht="15.75" customHeight="1" s="46">
      <c r="B1004" s="44" t="n"/>
      <c r="C1004" s="6" t="n"/>
      <c r="D1004" s="6" t="n"/>
      <c r="E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6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</row>
    <row r="1005" ht="15.75" customHeight="1" s="46">
      <c r="B1005" s="44" t="n"/>
      <c r="C1005" s="6" t="n"/>
      <c r="D1005" s="6" t="n"/>
      <c r="E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6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</row>
  </sheetData>
  <conditionalFormatting sqref="J1:J1005">
    <cfRule type="expression" priority="1" dxfId="0">
      <formula>$J2&gt;$G2</formula>
    </cfRule>
    <cfRule type="expression" priority="2" dxfId="1">
      <formula>$J2&lt;=$G2</formula>
    </cfRule>
  </conditionalFormatting>
  <conditionalFormatting sqref="Q17">
    <cfRule type="notContainsBlanks" priority="3" dxfId="0">
      <formula>LEN(TRIM(Q17))&gt;0</formula>
    </cfRule>
  </conditionalFormatting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2025-09-17T20:30:47Z</dcterms:created>
  <dcterms:modified xsi:type="dcterms:W3CDTF">2025-09-17T20:30:52Z</dcterms:modified>
</cp:coreProperties>
</file>